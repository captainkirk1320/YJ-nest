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Roster" sheetId="1" r:id="rId4"/>
    <sheet state="visible" name="SF Roster" sheetId="2" r:id="rId5"/>
    <sheet state="visible" name="Yellow Jacket Fundraising 25-26" sheetId="3" r:id="rId6"/>
  </sheets>
  <definedNames/>
  <calcPr/>
  <extLst>
    <ext uri="GoogleSheetsCustomDataVersion2">
      <go:sheetsCustomData xmlns:go="http://customooxmlschemas.google.com/" r:id="rId7" roundtripDataChecksum="JjsiZGulBWe5WspQB3hZbkEWtpXpIrAFXn0uKqpdQGY="/>
    </ext>
  </extLst>
</workbook>
</file>

<file path=xl/sharedStrings.xml><?xml version="1.0" encoding="utf-8"?>
<sst xmlns="http://schemas.openxmlformats.org/spreadsheetml/2006/main" count="3720" uniqueCount="1089">
  <si>
    <t>Sale Rep ID</t>
  </si>
  <si>
    <t>Full Contact ID</t>
  </si>
  <si>
    <t>First Name</t>
  </si>
  <si>
    <t>Last Name</t>
  </si>
  <si>
    <t>Full Name</t>
  </si>
  <si>
    <t>Representative Category</t>
  </si>
  <si>
    <t>YJ Category</t>
  </si>
  <si>
    <t>Active</t>
  </si>
  <si>
    <t>Sales team</t>
  </si>
  <si>
    <t>Phone Number</t>
  </si>
  <si>
    <t>Email</t>
  </si>
  <si>
    <t>Company - Job</t>
  </si>
  <si>
    <t>25-26 Dollars</t>
  </si>
  <si>
    <t>Future Class</t>
  </si>
  <si>
    <t>In SF</t>
  </si>
  <si>
    <t>0031Y0000637jKFQAY</t>
  </si>
  <si>
    <t>Bob</t>
  </si>
  <si>
    <t>Aggarwal</t>
  </si>
  <si>
    <t>Bob Aggarwal</t>
  </si>
  <si>
    <t>Yellow Jacket</t>
  </si>
  <si>
    <t>Committee Member</t>
  </si>
  <si>
    <t>Peter the Anteater</t>
  </si>
  <si>
    <t>480-323-0560</t>
  </si>
  <si>
    <t>baggarwal@alliancebankofarizona.com</t>
  </si>
  <si>
    <t>Alliance Bank-VP Commercial Banking</t>
  </si>
  <si>
    <t>2021-22</t>
  </si>
  <si>
    <t/>
  </si>
  <si>
    <t>Daniel</t>
  </si>
  <si>
    <t>Akmon</t>
  </si>
  <si>
    <t>Daniel Akmon</t>
  </si>
  <si>
    <t>Future</t>
  </si>
  <si>
    <t>Fightin' Artichokes</t>
  </si>
  <si>
    <t>(602) 361-4600</t>
  </si>
  <si>
    <t>Daniel.akmon@claconnect.com</t>
  </si>
  <si>
    <t>CLA-Principal</t>
  </si>
  <si>
    <t>2026-27</t>
  </si>
  <si>
    <t>0031Y0000637jiWQAQ</t>
  </si>
  <si>
    <t>Jonathan</t>
  </si>
  <si>
    <t>Amato</t>
  </si>
  <si>
    <t>Jonathan Amato</t>
  </si>
  <si>
    <t>Blue Hose</t>
  </si>
  <si>
    <t>914-494-3179</t>
  </si>
  <si>
    <t>jonathan.amato@westin.com</t>
  </si>
  <si>
    <t>The Westin Kierland Resort &amp; Spa - Director of Sales and Marketing</t>
  </si>
  <si>
    <t>2020-21</t>
  </si>
  <si>
    <t>0035d00006NTQsiAAH</t>
  </si>
  <si>
    <t>Jeffrey</t>
  </si>
  <si>
    <t>Anderson</t>
  </si>
  <si>
    <t>Jeffrey Anderson</t>
  </si>
  <si>
    <t>Banana Slugs</t>
  </si>
  <si>
    <t>(602) 321-9660</t>
  </si>
  <si>
    <t>Jeff.anderson@aleragroup.com</t>
  </si>
  <si>
    <t>BCG 401(k) Advisors - President</t>
  </si>
  <si>
    <t>Ray</t>
  </si>
  <si>
    <t>Artigue</t>
  </si>
  <si>
    <t>Ray Artigue</t>
  </si>
  <si>
    <t>Life Directors &amp; Members</t>
  </si>
  <si>
    <t>Life Director</t>
  </si>
  <si>
    <t>N/A</t>
  </si>
  <si>
    <t>Chancellor</t>
  </si>
  <si>
    <t>Barjona</t>
  </si>
  <si>
    <t>Chancellor Barjona</t>
  </si>
  <si>
    <t>(480) 599-9198</t>
  </si>
  <si>
    <t>chancellor.barjona@gmail.com</t>
  </si>
  <si>
    <t>IBM Principle Data &amp; AI Leader - Financial Services</t>
  </si>
  <si>
    <t>Patrick</t>
  </si>
  <si>
    <t>Barkley</t>
  </si>
  <si>
    <t>Patrick Barkley</t>
  </si>
  <si>
    <t>003i000000HAUd8AAH</t>
  </si>
  <si>
    <t>Eric</t>
  </si>
  <si>
    <t>Barkyoumb</t>
  </si>
  <si>
    <t>Eric Barkyoumb</t>
  </si>
  <si>
    <t>Dirtbags</t>
  </si>
  <si>
    <t>480-209-7993</t>
  </si>
  <si>
    <t>ebarkyoumb@gmail.com</t>
  </si>
  <si>
    <t>Dignity Health Foundation - Philanthropy Manager</t>
  </si>
  <si>
    <t>2012-13</t>
  </si>
  <si>
    <t>Brian</t>
  </si>
  <si>
    <t>Bednar</t>
  </si>
  <si>
    <t>Brian Bednar</t>
  </si>
  <si>
    <t>Board of Directors</t>
  </si>
  <si>
    <t>Board</t>
  </si>
  <si>
    <t>Judy</t>
  </si>
  <si>
    <t>Bernas</t>
  </si>
  <si>
    <t>Judy Bernas</t>
  </si>
  <si>
    <t>Scott</t>
  </si>
  <si>
    <t>Bernstein</t>
  </si>
  <si>
    <t>Scott Bernstein</t>
  </si>
  <si>
    <t>Life Member</t>
  </si>
  <si>
    <t>Bryan</t>
  </si>
  <si>
    <t>Beverly</t>
  </si>
  <si>
    <t>Bryan Beverly</t>
  </si>
  <si>
    <t>Jeff</t>
  </si>
  <si>
    <t>Beyersdorfer</t>
  </si>
  <si>
    <t>Jeff Beyersdorfer</t>
  </si>
  <si>
    <t>0035d00006iGLA8AAO</t>
  </si>
  <si>
    <t>Warren</t>
  </si>
  <si>
    <t>Black</t>
  </si>
  <si>
    <t>Warren Black</t>
  </si>
  <si>
    <t>Cobbers</t>
  </si>
  <si>
    <t>480-285-8502</t>
  </si>
  <si>
    <t>warren.c.black@outlook.com</t>
  </si>
  <si>
    <t>Merrill Lynch - Financial Advisor Senior Portfolio Advisor</t>
  </si>
  <si>
    <t>2022-23</t>
  </si>
  <si>
    <t>Lisa</t>
  </si>
  <si>
    <t>Borowsky</t>
  </si>
  <si>
    <t>Lisa Borowsky</t>
  </si>
  <si>
    <t>0035d0000793oC6AAI</t>
  </si>
  <si>
    <t>Boyer</t>
  </si>
  <si>
    <t>Bryan Boyer</t>
  </si>
  <si>
    <t>Pistol Petes</t>
  </si>
  <si>
    <t>480-267-4169</t>
  </si>
  <si>
    <t>bboyer7740@gmail.com</t>
  </si>
  <si>
    <t>Avis/Budget Group - Business Development Manager</t>
  </si>
  <si>
    <t>2023-24</t>
  </si>
  <si>
    <t>Damon</t>
  </si>
  <si>
    <t>Boze</t>
  </si>
  <si>
    <t>Damon Boze</t>
  </si>
  <si>
    <t>0035d00006iGLX7AAO</t>
  </si>
  <si>
    <t>Justin</t>
  </si>
  <si>
    <t>Bretag</t>
  </si>
  <si>
    <t>Justin Bretag</t>
  </si>
  <si>
    <t>Fighting Pickles</t>
  </si>
  <si>
    <t>(602) 361-7027</t>
  </si>
  <si>
    <t>Justin.bretag@busey.com</t>
  </si>
  <si>
    <t>Busey Bank-Managing Director Commercial</t>
  </si>
  <si>
    <t>Robert</t>
  </si>
  <si>
    <t>Bridge</t>
  </si>
  <si>
    <t>Robert Bridge</t>
  </si>
  <si>
    <t>Martyn</t>
  </si>
  <si>
    <t>Bridgeman</t>
  </si>
  <si>
    <t>Martyn Bridgeman</t>
  </si>
  <si>
    <t>0035d0000793o4ZAAQ</t>
  </si>
  <si>
    <t>Lindsey</t>
  </si>
  <si>
    <t>Brist</t>
  </si>
  <si>
    <t>Lindsey Brist</t>
  </si>
  <si>
    <t>Stormy Petrels</t>
  </si>
  <si>
    <t>(208) 631-7601</t>
  </si>
  <si>
    <t>lindsey.brist@mmrgrp.com</t>
  </si>
  <si>
    <t>MMR Constructors - Business Development Manager</t>
  </si>
  <si>
    <t>Tim</t>
  </si>
  <si>
    <t>Brown</t>
  </si>
  <si>
    <t>Tim Brown</t>
  </si>
  <si>
    <t>Bullington</t>
  </si>
  <si>
    <t>Lisa Bullington</t>
  </si>
  <si>
    <t>0031Y00005kTGeIQAW</t>
  </si>
  <si>
    <t>Taylor</t>
  </si>
  <si>
    <t>Burgoon</t>
  </si>
  <si>
    <t>Taylor Burgoon</t>
  </si>
  <si>
    <t>734-776-7362</t>
  </si>
  <si>
    <t>tburgoon@fennemorelaw.com</t>
  </si>
  <si>
    <t>Fennemore Craig P.C. Attorney</t>
  </si>
  <si>
    <t>2019-20</t>
  </si>
  <si>
    <t>0035d00006iGLXqAAO</t>
  </si>
  <si>
    <t>Benjamin</t>
  </si>
  <si>
    <t>Burke</t>
  </si>
  <si>
    <t>Benjamin Burke</t>
  </si>
  <si>
    <t>608-385-4078</t>
  </si>
  <si>
    <t>benburke@msn.com</t>
  </si>
  <si>
    <t>Van Wagner-Vice President College Division</t>
  </si>
  <si>
    <t>Tyler</t>
  </si>
  <si>
    <t>Butler</t>
  </si>
  <si>
    <t>Tyler Butler</t>
  </si>
  <si>
    <t>(480) 431-8580</t>
  </si>
  <si>
    <t>connect@collaborationforgood.com</t>
  </si>
  <si>
    <t>Collaboration for Good Founder</t>
  </si>
  <si>
    <t>Jake</t>
  </si>
  <si>
    <t>Butterfield</t>
  </si>
  <si>
    <t>Jake Butterfield</t>
  </si>
  <si>
    <t>Greg</t>
  </si>
  <si>
    <t>Byrne</t>
  </si>
  <si>
    <t>Greg Byrne</t>
  </si>
  <si>
    <t>Joe</t>
  </si>
  <si>
    <t>Cafferelli</t>
  </si>
  <si>
    <t>Joe Cafferelli</t>
  </si>
  <si>
    <t>003VX00000CeOJGYA3</t>
  </si>
  <si>
    <t>Ben</t>
  </si>
  <si>
    <t>Calacci</t>
  </si>
  <si>
    <t>Ben Calacci</t>
  </si>
  <si>
    <t>(703) 967-7691</t>
  </si>
  <si>
    <t>ben.calacci@gmail.com</t>
  </si>
  <si>
    <t>Team Velocity - Vice President OEM</t>
  </si>
  <si>
    <t>2024-25</t>
  </si>
  <si>
    <t>Grady</t>
  </si>
  <si>
    <t>Callaghan</t>
  </si>
  <si>
    <t>Grady Callaghan</t>
  </si>
  <si>
    <t>Brett</t>
  </si>
  <si>
    <t>Callahan</t>
  </si>
  <si>
    <t>Brett Callahan</t>
  </si>
  <si>
    <t>Jennifer</t>
  </si>
  <si>
    <t>Cannon</t>
  </si>
  <si>
    <t>Jennifer Cannon</t>
  </si>
  <si>
    <t>Gene</t>
  </si>
  <si>
    <t>Carl</t>
  </si>
  <si>
    <t>Gene Carl</t>
  </si>
  <si>
    <t>Caruth</t>
  </si>
  <si>
    <t>Eric Caruth</t>
  </si>
  <si>
    <t>Izabela</t>
  </si>
  <si>
    <t>Castillo</t>
  </si>
  <si>
    <t>Izabela Castillo</t>
  </si>
  <si>
    <t>John</t>
  </si>
  <si>
    <t>Craiger</t>
  </si>
  <si>
    <t>John Craiger</t>
  </si>
  <si>
    <t>Walker</t>
  </si>
  <si>
    <t>Crowson</t>
  </si>
  <si>
    <t>Walker Crowson</t>
  </si>
  <si>
    <t>003VX00000YQJzdYAH</t>
  </si>
  <si>
    <t>Kerri</t>
  </si>
  <si>
    <t>Cummiskey</t>
  </si>
  <si>
    <t>Kerri Cummiskey</t>
  </si>
  <si>
    <t>(480) 435-5347</t>
  </si>
  <si>
    <t>kerri.cummiskey@alumus.com</t>
  </si>
  <si>
    <t>Alumus Sr VP of Network Development and Strategic Partnerships</t>
  </si>
  <si>
    <t>2025-26</t>
  </si>
  <si>
    <t>0035d00006NTR3CAAX</t>
  </si>
  <si>
    <t>Davis</t>
  </si>
  <si>
    <t>Patrick Davis</t>
  </si>
  <si>
    <t>Gorlocks</t>
  </si>
  <si>
    <t>480-980-3407</t>
  </si>
  <si>
    <t>patrick@davisconsultgroup.net</t>
  </si>
  <si>
    <t>Urban Luxe Real Estate - Real Estate Agent</t>
  </si>
  <si>
    <t>0035d0000793ntKAAQ</t>
  </si>
  <si>
    <t>Steven</t>
  </si>
  <si>
    <t>Steven Davis</t>
  </si>
  <si>
    <t>(602) 284-8681</t>
  </si>
  <si>
    <t>Steven@RdEnterprisesaz.com</t>
  </si>
  <si>
    <t>RD Enterprises - Managing Partner</t>
  </si>
  <si>
    <t>003i000004UDMfrAAH</t>
  </si>
  <si>
    <t>Debnam</t>
  </si>
  <si>
    <t>Brian Debnam</t>
  </si>
  <si>
    <t>(520) 990-7030</t>
  </si>
  <si>
    <t>bkdebnam@gmail.com</t>
  </si>
  <si>
    <t>NIKE Inc-Director &amp; Chief of Staff Global Footwear Product Creation</t>
  </si>
  <si>
    <t>2017-18</t>
  </si>
  <si>
    <t>0031Y0000637jzwQAA</t>
  </si>
  <si>
    <t>Ryan</t>
  </si>
  <si>
    <t>Delaney</t>
  </si>
  <si>
    <t>Ryan Delaney</t>
  </si>
  <si>
    <t>319-470-3845</t>
  </si>
  <si>
    <t>ryan.delaney@busey.com</t>
  </si>
  <si>
    <t>Busey Bank - Senior VP Director of Middle Market Banking</t>
  </si>
  <si>
    <t>Jason</t>
  </si>
  <si>
    <t>DeLuigi</t>
  </si>
  <si>
    <t>Jason DeLuigi</t>
  </si>
  <si>
    <t>BJ</t>
  </si>
  <si>
    <t>Denker</t>
  </si>
  <si>
    <t>BJ Denker</t>
  </si>
  <si>
    <t>Sarah</t>
  </si>
  <si>
    <t>Desmond</t>
  </si>
  <si>
    <t>Sarah Desmond</t>
  </si>
  <si>
    <t>(602) 826-8866</t>
  </si>
  <si>
    <t>sarah.desmond@ubs.com</t>
  </si>
  <si>
    <t>UBS/Financial Advisor</t>
  </si>
  <si>
    <t>003VX00000CfFFVYA3</t>
  </si>
  <si>
    <t>David</t>
  </si>
  <si>
    <t>Dobrusin</t>
  </si>
  <si>
    <t>David Dobrusin</t>
  </si>
  <si>
    <t>Fighting Camels</t>
  </si>
  <si>
    <t>(602) 369-9716</t>
  </si>
  <si>
    <t>ddobrusin@gmail.com</t>
  </si>
  <si>
    <t>Dobrusin Financial LLC - President</t>
  </si>
  <si>
    <t>Dave</t>
  </si>
  <si>
    <t>Dorward</t>
  </si>
  <si>
    <t>Dave Dorward</t>
  </si>
  <si>
    <t>003VX00000YYI6zYAH</t>
  </si>
  <si>
    <t>Isaiah</t>
  </si>
  <si>
    <t>Dowdell</t>
  </si>
  <si>
    <t>Isaiah Dowdell</t>
  </si>
  <si>
    <t>(808) 225-3378</t>
  </si>
  <si>
    <t>Isaiah.dowdell@assuredpartners.com</t>
  </si>
  <si>
    <t>Sales Executive Commercial Lines - Assured Partners</t>
  </si>
  <si>
    <t>0035d0000792jwOAAQ</t>
  </si>
  <si>
    <t>DJ</t>
  </si>
  <si>
    <t>Downs</t>
  </si>
  <si>
    <t>DJ Downs</t>
  </si>
  <si>
    <t>(575) 430-1850</t>
  </si>
  <si>
    <t>djdowns1@gmail.com</t>
  </si>
  <si>
    <t>Barrett-Jackson - Sr. Director of Marketing</t>
  </si>
  <si>
    <t>Jon</t>
  </si>
  <si>
    <t>Drago</t>
  </si>
  <si>
    <t>Jon Drago</t>
  </si>
  <si>
    <t>Rob</t>
  </si>
  <si>
    <t>Drake</t>
  </si>
  <si>
    <t>Rob Drake</t>
  </si>
  <si>
    <t>Peter</t>
  </si>
  <si>
    <t>Eberle</t>
  </si>
  <si>
    <t>Peter Eberle</t>
  </si>
  <si>
    <t>Ed</t>
  </si>
  <si>
    <t>Erhardt</t>
  </si>
  <si>
    <t>Ed Erhardt</t>
  </si>
  <si>
    <t>003VX00000CeQWLYA3</t>
  </si>
  <si>
    <t>Vince</t>
  </si>
  <si>
    <t>Ewing</t>
  </si>
  <si>
    <t>Vince Ewing</t>
  </si>
  <si>
    <t>(206) 406-2162</t>
  </si>
  <si>
    <t>vince@hypeathletenetwork.com</t>
  </si>
  <si>
    <t>Hype Athlete Network - Founder/CEO</t>
  </si>
  <si>
    <t>Mark</t>
  </si>
  <si>
    <t>Fast</t>
  </si>
  <si>
    <t>Mark Fast</t>
  </si>
  <si>
    <t>Fate</t>
  </si>
  <si>
    <t>Patrick Fate</t>
  </si>
  <si>
    <t>(602) 376-8996</t>
  </si>
  <si>
    <t>pfate@devenneygroup.com</t>
  </si>
  <si>
    <t>Devenney Architects - Executive Director</t>
  </si>
  <si>
    <t>Ferreira</t>
  </si>
  <si>
    <t>Judy Ferreira</t>
  </si>
  <si>
    <t>0035d00006iGLZ3AAO</t>
  </si>
  <si>
    <t>Adam</t>
  </si>
  <si>
    <t>Fielding</t>
  </si>
  <si>
    <t>Adam Fielding</t>
  </si>
  <si>
    <t>(256) 861-0850</t>
  </si>
  <si>
    <t>afielding821@gmail.com</t>
  </si>
  <si>
    <t>Platinum Dermatology Partners - Chief Compliance Officer</t>
  </si>
  <si>
    <t>Dan</t>
  </si>
  <si>
    <t>Filby</t>
  </si>
  <si>
    <t>Dan Filby</t>
  </si>
  <si>
    <t>0031Y00004viF9NQAU</t>
  </si>
  <si>
    <t>Kirk</t>
  </si>
  <si>
    <t>Fonfara</t>
  </si>
  <si>
    <t>Kirk Fonfara</t>
  </si>
  <si>
    <t>602-615-9225</t>
  </si>
  <si>
    <t>kirkfonfara@gmail.com</t>
  </si>
  <si>
    <t>Chicago Title Agency Arizona - Commercial Sales Executive</t>
  </si>
  <si>
    <t>2018-19</t>
  </si>
  <si>
    <t>003VX00000CetJqYAJ</t>
  </si>
  <si>
    <t>Michael</t>
  </si>
  <si>
    <t>Fossum</t>
  </si>
  <si>
    <t>Michael Fossum</t>
  </si>
  <si>
    <t>Speedy the Geoduck</t>
  </si>
  <si>
    <t>(602) 370-1097</t>
  </si>
  <si>
    <t>mfossum@nobilityrcm.com</t>
  </si>
  <si>
    <t>NobilityRCM Founder/CEO</t>
  </si>
  <si>
    <t>Marchelle</t>
  </si>
  <si>
    <t>Franklin</t>
  </si>
  <si>
    <t>Marchelle Franklin</t>
  </si>
  <si>
    <t>Marloshawn</t>
  </si>
  <si>
    <t>Franklin Jr.</t>
  </si>
  <si>
    <t>Marloshawn Franklin Jr.</t>
  </si>
  <si>
    <t>William</t>
  </si>
  <si>
    <t>Frazier</t>
  </si>
  <si>
    <t>William Frazier</t>
  </si>
  <si>
    <t>0031Y0000637k1YQAQ</t>
  </si>
  <si>
    <t>Fredlake</t>
  </si>
  <si>
    <t>Ben Fredlake</t>
  </si>
  <si>
    <t>(480) 323-0176</t>
  </si>
  <si>
    <t>ben.fredlake@gmail.com</t>
  </si>
  <si>
    <t>Mission Management &amp; Trust - Senior Portfolio Manager</t>
  </si>
  <si>
    <t>003VX00000YtOqvYAF</t>
  </si>
  <si>
    <t>Ethan</t>
  </si>
  <si>
    <t>Freedman</t>
  </si>
  <si>
    <t>Ethan Freedman</t>
  </si>
  <si>
    <t>(480) 250-8341</t>
  </si>
  <si>
    <t>freedmanethan@gmail.com</t>
  </si>
  <si>
    <t>Burt Feldman &amp; Grenier/Attorney</t>
  </si>
  <si>
    <t>Fullerton</t>
  </si>
  <si>
    <t>Adam Fullerton</t>
  </si>
  <si>
    <t>Gallego</t>
  </si>
  <si>
    <t>Jeff Gallego</t>
  </si>
  <si>
    <t>0035d00006iGLZ4AAO</t>
  </si>
  <si>
    <t>Garcia-Larson</t>
  </si>
  <si>
    <t>Brian Garcia-Larson</t>
  </si>
  <si>
    <t>602-509-2122</t>
  </si>
  <si>
    <t>bgl@bglfinancialfreedom.com</t>
  </si>
  <si>
    <t>Self Life Insurance Agent/Business Guide</t>
  </si>
  <si>
    <t>Harry</t>
  </si>
  <si>
    <t>Garewal</t>
  </si>
  <si>
    <t>Harry Garewal</t>
  </si>
  <si>
    <t>Dean</t>
  </si>
  <si>
    <t>Gekas</t>
  </si>
  <si>
    <t>Dean Gekas</t>
  </si>
  <si>
    <t>Aaron</t>
  </si>
  <si>
    <t>Glaspie</t>
  </si>
  <si>
    <t>Aaron Glaspie</t>
  </si>
  <si>
    <t>(313) 207-6830</t>
  </si>
  <si>
    <t>aaronglaspie@yahoo.com</t>
  </si>
  <si>
    <t>Alkermes's Buitech /Territory Business Manager</t>
  </si>
  <si>
    <t>Chelsey</t>
  </si>
  <si>
    <t>Golightly</t>
  </si>
  <si>
    <t>Chelsey Golightly</t>
  </si>
  <si>
    <t>Golner</t>
  </si>
  <si>
    <t>Jeff Golner</t>
  </si>
  <si>
    <t>Chris</t>
  </si>
  <si>
    <t>Gracey</t>
  </si>
  <si>
    <t>Chris Gracey</t>
  </si>
  <si>
    <t>003i000000HAUesAAH</t>
  </si>
  <si>
    <t>Darius</t>
  </si>
  <si>
    <t>Green</t>
  </si>
  <si>
    <t>Darius Green</t>
  </si>
  <si>
    <t>602-451-5073</t>
  </si>
  <si>
    <t>dgreen@keyser.com</t>
  </si>
  <si>
    <t>KEYSER Co-Founder &amp; Partner</t>
  </si>
  <si>
    <t>0031Y00005UIjF9QAL</t>
  </si>
  <si>
    <t>Gubernick</t>
  </si>
  <si>
    <t>Brian Gubernick</t>
  </si>
  <si>
    <t>(480) 203-7928</t>
  </si>
  <si>
    <t>brian@metrixtraining.com</t>
  </si>
  <si>
    <t>PLACE-Chief Real Estate Officer</t>
  </si>
  <si>
    <t>003VX00000CeHstYAF</t>
  </si>
  <si>
    <t>Stephen</t>
  </si>
  <si>
    <t>Stephen Gubernick</t>
  </si>
  <si>
    <t>(602) 821-9462</t>
  </si>
  <si>
    <t>sgube30@yahoo.com</t>
  </si>
  <si>
    <t>Chiro 360-Owner</t>
  </si>
  <si>
    <t>0035d00006RFxaKAAT</t>
  </si>
  <si>
    <t>Josh</t>
  </si>
  <si>
    <t>Guinn</t>
  </si>
  <si>
    <t>Josh Guinn</t>
  </si>
  <si>
    <t>(602) 320-9337</t>
  </si>
  <si>
    <t>Jguinn@eidebailly.com</t>
  </si>
  <si>
    <t>Eide Bailly- Director of Business Development</t>
  </si>
  <si>
    <t>Hansen</t>
  </si>
  <si>
    <t>Brett Hansen</t>
  </si>
  <si>
    <t>0031Y00005GT8G1QAL</t>
  </si>
  <si>
    <t>Harbaugh</t>
  </si>
  <si>
    <t>Kirk Harbaugh</t>
  </si>
  <si>
    <t>856-366-5713</t>
  </si>
  <si>
    <t>k.o.harbaugh@gmail.com</t>
  </si>
  <si>
    <t>Bausch + Lomb-Territory Sales Manager</t>
  </si>
  <si>
    <t>Harkey</t>
  </si>
  <si>
    <t>Scott Harkey</t>
  </si>
  <si>
    <t>Hart</t>
  </si>
  <si>
    <t>Bob Hart</t>
  </si>
  <si>
    <t>0035d0000793mJEAAY</t>
  </si>
  <si>
    <t>Gabriel</t>
  </si>
  <si>
    <t>Hartsell</t>
  </si>
  <si>
    <t>Gabriel Hartsell</t>
  </si>
  <si>
    <t>(239) 560-7778</t>
  </si>
  <si>
    <t>hartsell.gabriel@dorsey.com</t>
  </si>
  <si>
    <t>Dorsey &amp; Whitney-Attorney/Partner</t>
  </si>
  <si>
    <t>0035d0000793m3BAAQ</t>
  </si>
  <si>
    <t>Amy</t>
  </si>
  <si>
    <t>Harvath</t>
  </si>
  <si>
    <t>Amy Harvath</t>
  </si>
  <si>
    <t>(586) 350-8668</t>
  </si>
  <si>
    <t>a.harvath@greenlinkhcm.com</t>
  </si>
  <si>
    <t>Greenlink HCM-VP of Business Development</t>
  </si>
  <si>
    <t>Hatch</t>
  </si>
  <si>
    <t>Ryan Hatch</t>
  </si>
  <si>
    <t>Jim</t>
  </si>
  <si>
    <t>Hatfield</t>
  </si>
  <si>
    <t>Jim Hatfield</t>
  </si>
  <si>
    <t>Brandon</t>
  </si>
  <si>
    <t>Hebert</t>
  </si>
  <si>
    <t>Brandon Hebert</t>
  </si>
  <si>
    <t>0035d00006iGLazAAG</t>
  </si>
  <si>
    <t>Renee</t>
  </si>
  <si>
    <t>Higgs</t>
  </si>
  <si>
    <t>Renee Higgs</t>
  </si>
  <si>
    <t>425-802-8844</t>
  </si>
  <si>
    <t>reneejhiggs@gmail.com</t>
  </si>
  <si>
    <t>Salt River Project (SRP) - Sr. Marketing Strategist</t>
  </si>
  <si>
    <t>Troy</t>
  </si>
  <si>
    <t>Hoberg</t>
  </si>
  <si>
    <t>Troy Hoberg</t>
  </si>
  <si>
    <t>Randall</t>
  </si>
  <si>
    <t>Hoggard</t>
  </si>
  <si>
    <t>Randall Hoggard</t>
  </si>
  <si>
    <t>003i000000HAUe2AAH</t>
  </si>
  <si>
    <t>Hourigan</t>
  </si>
  <si>
    <t>Joe Hourigan</t>
  </si>
  <si>
    <t>518-588-6883</t>
  </si>
  <si>
    <t>hourigan.joseph@gmail.com</t>
  </si>
  <si>
    <t>Petti and Briones - Attorney</t>
  </si>
  <si>
    <t>Randle</t>
  </si>
  <si>
    <t>House</t>
  </si>
  <si>
    <t>Randle House</t>
  </si>
  <si>
    <t>0035d0000793oB0AAI</t>
  </si>
  <si>
    <t>Karen</t>
  </si>
  <si>
    <t>Howard</t>
  </si>
  <si>
    <t>Karen Howard</t>
  </si>
  <si>
    <t>(480) 213-3306</t>
  </si>
  <si>
    <t>howard@hotmail.com</t>
  </si>
  <si>
    <t>ka , , Land Resources - Real Estate Development (Vice President)</t>
  </si>
  <si>
    <t>Humpal</t>
  </si>
  <si>
    <t>Justin Humpal</t>
  </si>
  <si>
    <t>0035d0000793mOmAAI</t>
  </si>
  <si>
    <t>Chad</t>
  </si>
  <si>
    <t>Hunter</t>
  </si>
  <si>
    <t>Chad Hunter</t>
  </si>
  <si>
    <t>(623) 824-9788</t>
  </si>
  <si>
    <t>chad.hunter@bmo.com</t>
  </si>
  <si>
    <t>BMO Financial Group - Director Commercial Bank</t>
  </si>
  <si>
    <t>003VX00000Z9EXRYA3</t>
  </si>
  <si>
    <t>Jackson</t>
  </si>
  <si>
    <t>Michael Jackson</t>
  </si>
  <si>
    <t>(719) 201-2462</t>
  </si>
  <si>
    <t>mjackson@myakal.com</t>
  </si>
  <si>
    <t>CEO-Mya Kal</t>
  </si>
  <si>
    <t>Chet</t>
  </si>
  <si>
    <t>Jaehnig</t>
  </si>
  <si>
    <t>Chet Jaehnig</t>
  </si>
  <si>
    <t>0035d0000793oDVAAY</t>
  </si>
  <si>
    <t>Jaffe</t>
  </si>
  <si>
    <t>William Jaffe</t>
  </si>
  <si>
    <t>(520) 360-8820</t>
  </si>
  <si>
    <t>williamjaffe@gmail.com</t>
  </si>
  <si>
    <t>Abrazo Biltmore Cardiology-Preventative Cardiologist</t>
  </si>
  <si>
    <t>James</t>
  </si>
  <si>
    <t>Ben James</t>
  </si>
  <si>
    <t>Jenkins</t>
  </si>
  <si>
    <t>Scott Jenkins</t>
  </si>
  <si>
    <t>Danny</t>
  </si>
  <si>
    <t>Johnson</t>
  </si>
  <si>
    <t>Danny Johnson</t>
  </si>
  <si>
    <t>003VX00000Cf9I9YAJ</t>
  </si>
  <si>
    <t>Justin Johnson</t>
  </si>
  <si>
    <t>(480) 521-1855</t>
  </si>
  <si>
    <t>doublejsales@gmail.com</t>
  </si>
  <si>
    <t>Dunlop Sports Americas - Regional Sales Manager</t>
  </si>
  <si>
    <t>Katia</t>
  </si>
  <si>
    <t>Jones</t>
  </si>
  <si>
    <t>Katia Jones</t>
  </si>
  <si>
    <t>0035d00006iGLbJAAW</t>
  </si>
  <si>
    <t>JJ</t>
  </si>
  <si>
    <t>Joppru</t>
  </si>
  <si>
    <t>JJ Joppru</t>
  </si>
  <si>
    <t>480-215-2777</t>
  </si>
  <si>
    <t>jj.joppru@marshmma.com</t>
  </si>
  <si>
    <t>Marsh-Vice President</t>
  </si>
  <si>
    <t>Joyce</t>
  </si>
  <si>
    <t>Patrick Joyce</t>
  </si>
  <si>
    <t>Kacer</t>
  </si>
  <si>
    <t>Aaron Kacer</t>
  </si>
  <si>
    <t>(641) 425-8499</t>
  </si>
  <si>
    <t>Aaron@milliganlawless.com</t>
  </si>
  <si>
    <t>Milligan Lawless P.C. Lawyer</t>
  </si>
  <si>
    <t>Raj</t>
  </si>
  <si>
    <t>Kapur</t>
  </si>
  <si>
    <t>Raj Kapur</t>
  </si>
  <si>
    <t>Kebert</t>
  </si>
  <si>
    <t>Jim Kebert</t>
  </si>
  <si>
    <t>Nick</t>
  </si>
  <si>
    <t>Kieffer</t>
  </si>
  <si>
    <t>Nick Kieffer</t>
  </si>
  <si>
    <t>0035d00006aP9esAAC</t>
  </si>
  <si>
    <t>Lane</t>
  </si>
  <si>
    <t>Klastow</t>
  </si>
  <si>
    <t>Lane Klastow</t>
  </si>
  <si>
    <t>(602) 999-3703</t>
  </si>
  <si>
    <t>Leonardk22@yahoo.com</t>
  </si>
  <si>
    <t>FCC/Partner</t>
  </si>
  <si>
    <t>Knebel</t>
  </si>
  <si>
    <t>John Knebel</t>
  </si>
  <si>
    <t>(202) 421-7042</t>
  </si>
  <si>
    <t>johnknebel3@gmail.com</t>
  </si>
  <si>
    <t>Influence Sports &amp; Media - SVP Business Development</t>
  </si>
  <si>
    <t>0035d00006yrzy1AAA</t>
  </si>
  <si>
    <t>Casey</t>
  </si>
  <si>
    <t>Koziol</t>
  </si>
  <si>
    <t>Casey Koziol</t>
  </si>
  <si>
    <t>(602) 459-2497</t>
  </si>
  <si>
    <t>casey.koziol@colliers.com</t>
  </si>
  <si>
    <t>Colliers International - Associate</t>
  </si>
  <si>
    <t>Lucas</t>
  </si>
  <si>
    <t>Kraut</t>
  </si>
  <si>
    <t>Lucas Kraut</t>
  </si>
  <si>
    <t>Kruczek</t>
  </si>
  <si>
    <t>Steven Kruczek</t>
  </si>
  <si>
    <t>(480) 678-3506</t>
  </si>
  <si>
    <t>kruczek@post.harvard.edu</t>
  </si>
  <si>
    <t>AeroGuard Flight Training - Chief Financial Officer</t>
  </si>
  <si>
    <t>2015-16</t>
  </si>
  <si>
    <t>Kurish</t>
  </si>
  <si>
    <t>Patrick Kurish</t>
  </si>
  <si>
    <t>0035d00006iGLXrAAO</t>
  </si>
  <si>
    <t>Kuykendall</t>
  </si>
  <si>
    <t>James Kuykendall</t>
  </si>
  <si>
    <t>480-881-4027</t>
  </si>
  <si>
    <t>jimk@ibgfoxfin.com</t>
  </si>
  <si>
    <t>IBG Fox &amp; Fin-Investment Banker/Managing Director</t>
  </si>
  <si>
    <t>David Lane</t>
  </si>
  <si>
    <t>003i000000HAUk1AAH</t>
  </si>
  <si>
    <t>Levin</t>
  </si>
  <si>
    <t>Jonathan Levin</t>
  </si>
  <si>
    <t>480-313-0141</t>
  </si>
  <si>
    <t>jonathanhlevin@gmail.com</t>
  </si>
  <si>
    <t>Zeta Beta Tau Foundation - Vice President of Development</t>
  </si>
  <si>
    <t>003i000001OlDATAA3</t>
  </si>
  <si>
    <t>Mike</t>
  </si>
  <si>
    <t>Lindsley</t>
  </si>
  <si>
    <t>Mike Lindsley</t>
  </si>
  <si>
    <t>480-326-3120</t>
  </si>
  <si>
    <t>mike@bfoxg.com</t>
  </si>
  <si>
    <t>BlueFox Group-Partner</t>
  </si>
  <si>
    <t>Logan</t>
  </si>
  <si>
    <t>Jake Logan</t>
  </si>
  <si>
    <t>Longo</t>
  </si>
  <si>
    <t>Rob Longo</t>
  </si>
  <si>
    <t>Lucas II</t>
  </si>
  <si>
    <t>David Lucas II</t>
  </si>
  <si>
    <t>0031Y00005GT8GzQAL</t>
  </si>
  <si>
    <t>Ty</t>
  </si>
  <si>
    <t>Martin</t>
  </si>
  <si>
    <t>Ty Martin</t>
  </si>
  <si>
    <t>602-403-2390</t>
  </si>
  <si>
    <t>Tymartin602@yahoo.com</t>
  </si>
  <si>
    <t>Grand Canyon University - Sr. Director of Corporate Partnerships</t>
  </si>
  <si>
    <t>0035d0000793mGtAAI</t>
  </si>
  <si>
    <t>Tim Martin</t>
  </si>
  <si>
    <t>(602) 505-0052</t>
  </si>
  <si>
    <t>timmartin602@yahoo.com</t>
  </si>
  <si>
    <t>Arizona Athletic Grounds - VP of Sales</t>
  </si>
  <si>
    <t>Trevor</t>
  </si>
  <si>
    <t>Trevor Martin</t>
  </si>
  <si>
    <t>Matt</t>
  </si>
  <si>
    <t>Masin</t>
  </si>
  <si>
    <t>Matt Masin</t>
  </si>
  <si>
    <t>(330) 209-9063</t>
  </si>
  <si>
    <t>matt@xpertadvice.com</t>
  </si>
  <si>
    <t>Strategic Wealth Advisors LLC Financial Advisor</t>
  </si>
  <si>
    <t>0035d00006NTR5IAAX</t>
  </si>
  <si>
    <t>Elroy</t>
  </si>
  <si>
    <t>Masters</t>
  </si>
  <si>
    <t>Elroy Masters</t>
  </si>
  <si>
    <t>623-688-6884</t>
  </si>
  <si>
    <t>elroy.masters@raymondjames.com</t>
  </si>
  <si>
    <t>Raymond James - Financial Advisor</t>
  </si>
  <si>
    <t>003VX00000YW85JYAT</t>
  </si>
  <si>
    <t>McBee</t>
  </si>
  <si>
    <t>Chet McBee</t>
  </si>
  <si>
    <t>(480) 392-7862</t>
  </si>
  <si>
    <t>Chet.mcbee@gmail.com</t>
  </si>
  <si>
    <t>The Mahoney Group/ Benefits Advisor</t>
  </si>
  <si>
    <t>003i000002KdHH1AAN</t>
  </si>
  <si>
    <t>Mcclure</t>
  </si>
  <si>
    <t>Kirk Mcclure</t>
  </si>
  <si>
    <t>(480) 305-3902</t>
  </si>
  <si>
    <t>kirk.mcclure@jedunn.com</t>
  </si>
  <si>
    <t>JE Dunn Construction - Vice President</t>
  </si>
  <si>
    <t>2016-17</t>
  </si>
  <si>
    <t>Sean</t>
  </si>
  <si>
    <t>Mcelenney</t>
  </si>
  <si>
    <t>Sean Mcelenney</t>
  </si>
  <si>
    <t>003VX00000voHuUYAU</t>
  </si>
  <si>
    <t>McEvilly</t>
  </si>
  <si>
    <t>Sean McEvilly</t>
  </si>
  <si>
    <t>(714) 357-2290</t>
  </si>
  <si>
    <t>smcevilly@vistamarkllc.com</t>
  </si>
  <si>
    <t>Vistamark Investments/Managing Partner</t>
  </si>
  <si>
    <t>McLeran</t>
  </si>
  <si>
    <t>Michael McLeran</t>
  </si>
  <si>
    <t>0035d00006NTR74AAH</t>
  </si>
  <si>
    <t>Kyle</t>
  </si>
  <si>
    <t>Mcmillian</t>
  </si>
  <si>
    <t>Kyle Mcmillian</t>
  </si>
  <si>
    <t>913-620-6577</t>
  </si>
  <si>
    <t>kyle.mcmillian@umb.com</t>
  </si>
  <si>
    <t>UMB Bank-Senior VP Commercial Banking Officer</t>
  </si>
  <si>
    <t>Craig</t>
  </si>
  <si>
    <t>Mercure</t>
  </si>
  <si>
    <t>Craig Mercure</t>
  </si>
  <si>
    <t>003VX00000YQPKAYA5</t>
  </si>
  <si>
    <t>Damien</t>
  </si>
  <si>
    <t>Meyer</t>
  </si>
  <si>
    <t>Damien Meyer</t>
  </si>
  <si>
    <t>(602)717-2546</t>
  </si>
  <si>
    <t>drm@eblawyers.com</t>
  </si>
  <si>
    <t>Engelman Berger PC/Shareholder</t>
  </si>
  <si>
    <t>003i000001LGx5FAAT</t>
  </si>
  <si>
    <t>Meza</t>
  </si>
  <si>
    <t>John Meza</t>
  </si>
  <si>
    <t>(480) 246-6224</t>
  </si>
  <si>
    <t>john.meza.mesaaz@gmail.com</t>
  </si>
  <si>
    <t>Arizona Department of Economic Security - Inspector General</t>
  </si>
  <si>
    <t>Miller</t>
  </si>
  <si>
    <t>Brett Miller</t>
  </si>
  <si>
    <t>Chad Miller</t>
  </si>
  <si>
    <t>003VX00000CfFgvYAF</t>
  </si>
  <si>
    <t>Tim Miller</t>
  </si>
  <si>
    <t>(602) 762-5800</t>
  </si>
  <si>
    <t>tim_s_miller@yahoo.com</t>
  </si>
  <si>
    <t>Sun Pharmaceutical Industries - Senior Territory Manager</t>
  </si>
  <si>
    <t>003i000000HAUduAAH</t>
  </si>
  <si>
    <t>Moll</t>
  </si>
  <si>
    <t>Brian Moll</t>
  </si>
  <si>
    <t>(602) 741-7775</t>
  </si>
  <si>
    <t>bkm2@cox.net</t>
  </si>
  <si>
    <t>Dorsey &amp; Whitney LLP - Partner</t>
  </si>
  <si>
    <t>Andrew</t>
  </si>
  <si>
    <t>Monaghan</t>
  </si>
  <si>
    <t>Andrew Monaghan</t>
  </si>
  <si>
    <t>003VX00000voZoBYAU</t>
  </si>
  <si>
    <t>Rogelio</t>
  </si>
  <si>
    <t>Monzon</t>
  </si>
  <si>
    <t>Rogelio Monzon</t>
  </si>
  <si>
    <t>(602) 509-2301</t>
  </si>
  <si>
    <t>rogelio.monzon3@gmail.com</t>
  </si>
  <si>
    <t>Aspire Counseling Services / Chief Financial Officer</t>
  </si>
  <si>
    <t>0031Y00005kTGlsQAG</t>
  </si>
  <si>
    <t>Brad</t>
  </si>
  <si>
    <t>Morin</t>
  </si>
  <si>
    <t>Brad Morin</t>
  </si>
  <si>
    <t>269-998-0675</t>
  </si>
  <si>
    <t>Bradley.morin@rrd.com</t>
  </si>
  <si>
    <t>Digital Media Consultant/R.R. Donnelly</t>
  </si>
  <si>
    <t>Tony</t>
  </si>
  <si>
    <t>Motta</t>
  </si>
  <si>
    <t>Tony Motta</t>
  </si>
  <si>
    <t>(407)461-5091</t>
  </si>
  <si>
    <t>tmotta@12news.com</t>
  </si>
  <si>
    <t>NBC-12News / Director of Sales</t>
  </si>
  <si>
    <t>Catherine</t>
  </si>
  <si>
    <t>Mulkerin</t>
  </si>
  <si>
    <t>Catherine Mulkerin</t>
  </si>
  <si>
    <t>Muraco</t>
  </si>
  <si>
    <t>Mike Muraco</t>
  </si>
  <si>
    <t>0031Y00005GT8HTQA1</t>
  </si>
  <si>
    <t>Naber</t>
  </si>
  <si>
    <t>Justin Naber</t>
  </si>
  <si>
    <t>480-487-7558</t>
  </si>
  <si>
    <t>jnaber@brixnational.com</t>
  </si>
  <si>
    <t>Brix Paving Northwest Inc. - VP of Business Development</t>
  </si>
  <si>
    <t>0035d00006NTR7JAAX</t>
  </si>
  <si>
    <t>Gary</t>
  </si>
  <si>
    <t>Naquin</t>
  </si>
  <si>
    <t>Gary Naquin</t>
  </si>
  <si>
    <t>480-294-4698</t>
  </si>
  <si>
    <t>gary.naquin@midfirst.com</t>
  </si>
  <si>
    <t>MidFirst Bank-SVP Corporate Banking</t>
  </si>
  <si>
    <t>003VX00000YjxTPYAZ</t>
  </si>
  <si>
    <t>Will</t>
  </si>
  <si>
    <t>Nation</t>
  </si>
  <si>
    <t>Will Nation</t>
  </si>
  <si>
    <t>(602) 980-2336</t>
  </si>
  <si>
    <t>wnation@mtbuilders.com</t>
  </si>
  <si>
    <t>MT Builders - President</t>
  </si>
  <si>
    <t>Neddoff</t>
  </si>
  <si>
    <t>Bryan Neddoff</t>
  </si>
  <si>
    <t>Barry</t>
  </si>
  <si>
    <t>Nelson</t>
  </si>
  <si>
    <t>Barry Nelson</t>
  </si>
  <si>
    <t>0035d00006viTv5AAE</t>
  </si>
  <si>
    <t>Suzanne</t>
  </si>
  <si>
    <t>Suzanne Nelson</t>
  </si>
  <si>
    <t>(602) 399-3558</t>
  </si>
  <si>
    <t>snelson@coreslab.com</t>
  </si>
  <si>
    <t>Coreslab Structures - Business Development</t>
  </si>
  <si>
    <t>003VX00000CfAAzYAN</t>
  </si>
  <si>
    <t>Jameson</t>
  </si>
  <si>
    <t>Neuhoff</t>
  </si>
  <si>
    <t>Jameson Neuhoff</t>
  </si>
  <si>
    <t>(614) 432-1450</t>
  </si>
  <si>
    <t>jhneuhof@gmail.com</t>
  </si>
  <si>
    <t>Palm Canyon Development - Owner</t>
  </si>
  <si>
    <t>003i000000HAUdAAAX</t>
  </si>
  <si>
    <t>Newquist</t>
  </si>
  <si>
    <t>Tim Newquist</t>
  </si>
  <si>
    <t>480-577-0847</t>
  </si>
  <si>
    <t>tim@newquistinvestments.com</t>
  </si>
  <si>
    <t>Newquist Investments - Owner/Real Estate Investor/Consultant</t>
  </si>
  <si>
    <t>Randy</t>
  </si>
  <si>
    <t>Norton</t>
  </si>
  <si>
    <t>Randy Norton</t>
  </si>
  <si>
    <t>003VX00000CfG9xYAF</t>
  </si>
  <si>
    <t>Nuestro</t>
  </si>
  <si>
    <t>Brian Nuestro</t>
  </si>
  <si>
    <t>(480) 689-1167</t>
  </si>
  <si>
    <t>bnuestro@gmail.com</t>
  </si>
  <si>
    <t>Marc &amp; Rose Hospitality - VP of IT &amp; Cybersecurity</t>
  </si>
  <si>
    <t>Olsen</t>
  </si>
  <si>
    <t>Ed Olsen</t>
  </si>
  <si>
    <t>OMalley</t>
  </si>
  <si>
    <t>Brian OMalley</t>
  </si>
  <si>
    <t>Tom</t>
  </si>
  <si>
    <t>O'Malley</t>
  </si>
  <si>
    <t>Tom O'Malley</t>
  </si>
  <si>
    <t>0031Y0000637kLTQAY</t>
  </si>
  <si>
    <t>Jerry</t>
  </si>
  <si>
    <t>Pence</t>
  </si>
  <si>
    <t>Jerry Pence</t>
  </si>
  <si>
    <t>602-300-8817</t>
  </si>
  <si>
    <t>jerry@balancedcapitalpartners.com</t>
  </si>
  <si>
    <t>Balanced Capital Partners - Private Equity/Managing Partner</t>
  </si>
  <si>
    <t>0035d0000793lYsAAI</t>
  </si>
  <si>
    <t>Penniman</t>
  </si>
  <si>
    <t>Ryan Penniman</t>
  </si>
  <si>
    <t>(480) 266-9993</t>
  </si>
  <si>
    <t>repenniman@gmail.com</t>
  </si>
  <si>
    <t>CAPTRUST-Principal | Financial Advisor</t>
  </si>
  <si>
    <t>Ramey</t>
  </si>
  <si>
    <t>Peru</t>
  </si>
  <si>
    <t>Ramey Peru</t>
  </si>
  <si>
    <t>003i000000NFnzBAAT</t>
  </si>
  <si>
    <t>Kelly</t>
  </si>
  <si>
    <t>Kelly Peru</t>
  </si>
  <si>
    <t>480-330-4316</t>
  </si>
  <si>
    <t>kellyperu22@gmail.com</t>
  </si>
  <si>
    <t>Yellow Jacket Committee Member</t>
  </si>
  <si>
    <t>2013-14</t>
  </si>
  <si>
    <t>0031Y0000637kLiQAI</t>
  </si>
  <si>
    <t>Shane</t>
  </si>
  <si>
    <t>Peterlin</t>
  </si>
  <si>
    <t>Shane Peterlin</t>
  </si>
  <si>
    <t>480-227-2019</t>
  </si>
  <si>
    <t>shane@c21seago.com</t>
  </si>
  <si>
    <t>Century 21 Seago - Realtor</t>
  </si>
  <si>
    <t>003VX00000YUmGYYA1</t>
  </si>
  <si>
    <t>Pierce</t>
  </si>
  <si>
    <t>Justin Pierce</t>
  </si>
  <si>
    <t>(517) 214-2501</t>
  </si>
  <si>
    <t>drjustinpierce@gmail.com</t>
  </si>
  <si>
    <t>Valley Spinal Care/ Owner</t>
  </si>
  <si>
    <t>Calvin</t>
  </si>
  <si>
    <t>Platten</t>
  </si>
  <si>
    <t>Calvin Platten</t>
  </si>
  <si>
    <t>Potter</t>
  </si>
  <si>
    <t>Tim Potter</t>
  </si>
  <si>
    <t>Pratt</t>
  </si>
  <si>
    <t>Trevor Pratt</t>
  </si>
  <si>
    <t>0035d00006iGLehAAG</t>
  </si>
  <si>
    <t>Chip</t>
  </si>
  <si>
    <t>Pray</t>
  </si>
  <si>
    <t>Chip Pray</t>
  </si>
  <si>
    <t>(480) 266-8583</t>
  </si>
  <si>
    <t>charles.pray@mclanefs.com</t>
  </si>
  <si>
    <t>McLane Company Inc. General Manager</t>
  </si>
  <si>
    <t>0035d00006iGLewAAG</t>
  </si>
  <si>
    <t>Carlos</t>
  </si>
  <si>
    <t>Ramirez</t>
  </si>
  <si>
    <t>Carlos Ramirez</t>
  </si>
  <si>
    <t>214-801-6267</t>
  </si>
  <si>
    <t>carlos.x3.ramirez@jpmorgan.com</t>
  </si>
  <si>
    <t>J.P. Morgan Private Bank - Banker</t>
  </si>
  <si>
    <t>Rawicz</t>
  </si>
  <si>
    <t>John Rawicz</t>
  </si>
  <si>
    <t>Don</t>
  </si>
  <si>
    <t>Reese</t>
  </si>
  <si>
    <t>Don Reese</t>
  </si>
  <si>
    <t>003VX00000CfAhFYAV</t>
  </si>
  <si>
    <t>Kyler</t>
  </si>
  <si>
    <t>Robinson</t>
  </si>
  <si>
    <t>Kyler Robinson</t>
  </si>
  <si>
    <t>(307) 421-9811</t>
  </si>
  <si>
    <t>krobinson@crestins.com</t>
  </si>
  <si>
    <t>Crest Insurance Group Commercial Insurance Broker</t>
  </si>
  <si>
    <t>Dawn</t>
  </si>
  <si>
    <t>Rogers</t>
  </si>
  <si>
    <t>Dawn Rogers</t>
  </si>
  <si>
    <t>Rossman</t>
  </si>
  <si>
    <t>Michael Rossman</t>
  </si>
  <si>
    <t>0035d00006iGLfVAAW</t>
  </si>
  <si>
    <t>Royal</t>
  </si>
  <si>
    <t>Bryan Royal</t>
  </si>
  <si>
    <t>602-463-0799</t>
  </si>
  <si>
    <t>bry822@gmail.com</t>
  </si>
  <si>
    <t>Self; Royal Document Review &amp; Services - Founder and CEO""</t>
  </si>
  <si>
    <t>Rachel</t>
  </si>
  <si>
    <t>Sacco</t>
  </si>
  <si>
    <t>Rachel Sacco</t>
  </si>
  <si>
    <t>0035d00006NTR82AAH</t>
  </si>
  <si>
    <t>Grant</t>
  </si>
  <si>
    <t>Sanders</t>
  </si>
  <si>
    <t>Grant Sanders</t>
  </si>
  <si>
    <t>480-322-4720</t>
  </si>
  <si>
    <t>ffsanders@hotmail.com</t>
  </si>
  <si>
    <t>Arcadia Sports Complex - President</t>
  </si>
  <si>
    <t>003VX00000CfBGjYAN</t>
  </si>
  <si>
    <t>Katelyn</t>
  </si>
  <si>
    <t>Saunders</t>
  </si>
  <si>
    <t>Katelyn Saunders</t>
  </si>
  <si>
    <t>(480) 201-6506</t>
  </si>
  <si>
    <t>katelyn@metrixtraining.com</t>
  </si>
  <si>
    <t>Metrix Masterminds - Head of Growth and Operations</t>
  </si>
  <si>
    <t>003i000000NFnzlAAD</t>
  </si>
  <si>
    <t>Richie</t>
  </si>
  <si>
    <t>Schmock</t>
  </si>
  <si>
    <t>Richie Schmock</t>
  </si>
  <si>
    <t>602-402-6835</t>
  </si>
  <si>
    <t>richard.schmock@gmail.com</t>
  </si>
  <si>
    <t>Rockefeller Capital Management- Sr. Vice President</t>
  </si>
  <si>
    <t>0031Y00004yOeldQAC</t>
  </si>
  <si>
    <t>Senoski</t>
  </si>
  <si>
    <t>Logan Senoski</t>
  </si>
  <si>
    <t>(505) 401-6399</t>
  </si>
  <si>
    <t>Logan.Senoski@srpnet.com</t>
  </si>
  <si>
    <t>Salt River Project (SRP) - Senior Project Origination Consultant</t>
  </si>
  <si>
    <t>Denise</t>
  </si>
  <si>
    <t>Seomin</t>
  </si>
  <si>
    <t>Denise Seomin</t>
  </si>
  <si>
    <t>Davina</t>
  </si>
  <si>
    <t>Seville</t>
  </si>
  <si>
    <t>Davina Seville</t>
  </si>
  <si>
    <t>003VX00000CfBWrYAN</t>
  </si>
  <si>
    <t>Jared</t>
  </si>
  <si>
    <t>Shahon</t>
  </si>
  <si>
    <t>Jared Shahon</t>
  </si>
  <si>
    <t>(602) 904-2362</t>
  </si>
  <si>
    <t>jbshahon@gmail.com</t>
  </si>
  <si>
    <t>Launch Powered by Compass - Realtor</t>
  </si>
  <si>
    <t>003VX00000CeakFYAR</t>
  </si>
  <si>
    <t>Sheridan</t>
  </si>
  <si>
    <t>Andrew Sheridan</t>
  </si>
  <si>
    <t>(602) 715-3314</t>
  </si>
  <si>
    <t>andrewsheridan88@gmail.com</t>
  </si>
  <si>
    <t>Sherwood Schools LLC-Owner/CFO</t>
  </si>
  <si>
    <t>Shultz</t>
  </si>
  <si>
    <t>Andrew Shultz</t>
  </si>
  <si>
    <t>Simmons</t>
  </si>
  <si>
    <t>Robert Simmons</t>
  </si>
  <si>
    <t>Phil</t>
  </si>
  <si>
    <t>Skiba</t>
  </si>
  <si>
    <t>Phil Skiba</t>
  </si>
  <si>
    <t>003i000002AYheTAAT</t>
  </si>
  <si>
    <t>Smidt</t>
  </si>
  <si>
    <t>Brad Smidt</t>
  </si>
  <si>
    <t>602-689-7451</t>
  </si>
  <si>
    <t>bsmidt@gpec.org</t>
  </si>
  <si>
    <t>Greater Phoenix Economic Council-Senior VP</t>
  </si>
  <si>
    <t>Smith</t>
  </si>
  <si>
    <t>Ben Smith</t>
  </si>
  <si>
    <t>Jeff Smith</t>
  </si>
  <si>
    <t>Gene Smith</t>
  </si>
  <si>
    <t>Nick Smith</t>
  </si>
  <si>
    <t>Soble</t>
  </si>
  <si>
    <t>David Soble</t>
  </si>
  <si>
    <t>0035d00006sQq7MAAS</t>
  </si>
  <si>
    <t>Samantha</t>
  </si>
  <si>
    <t>Spadaro</t>
  </si>
  <si>
    <t>Samantha Spadaro</t>
  </si>
  <si>
    <t>sspadaro113@gmail.com</t>
  </si>
  <si>
    <t>003VX00000CfCr7YAF</t>
  </si>
  <si>
    <t>Melissa</t>
  </si>
  <si>
    <t>Stack</t>
  </si>
  <si>
    <t>Melissa Stack</t>
  </si>
  <si>
    <t>(815) 228-0560</t>
  </si>
  <si>
    <t>melvittone@gmail.com</t>
  </si>
  <si>
    <t>Deloitte LLP-Sr. Manager Risk and Brand Protection</t>
  </si>
  <si>
    <t>003i000002KdHFjAAN</t>
  </si>
  <si>
    <t>Stark</t>
  </si>
  <si>
    <t>Greg Stark</t>
  </si>
  <si>
    <t>(602) 418-6877</t>
  </si>
  <si>
    <t>gkstark34@gmail.com</t>
  </si>
  <si>
    <t>Raymond James - Financial Advisor CFP(R)</t>
  </si>
  <si>
    <t>0035d00006NTR8lAAH</t>
  </si>
  <si>
    <t>Max</t>
  </si>
  <si>
    <t>Starks</t>
  </si>
  <si>
    <t>Max Starks</t>
  </si>
  <si>
    <t>352-256-7949</t>
  </si>
  <si>
    <t>maxstarks78@me.com</t>
  </si>
  <si>
    <t>SiriusXM-On-Air Talent</t>
  </si>
  <si>
    <t>Stevens</t>
  </si>
  <si>
    <t>Jim Stevens</t>
  </si>
  <si>
    <t>Brent</t>
  </si>
  <si>
    <t>Stoddard</t>
  </si>
  <si>
    <t>Brent Stoddard</t>
  </si>
  <si>
    <t>Stratton</t>
  </si>
  <si>
    <t>Tim Stratton</t>
  </si>
  <si>
    <t>0031Y0000637kNoQAI</t>
  </si>
  <si>
    <t>Strening</t>
  </si>
  <si>
    <t>Joe Strening</t>
  </si>
  <si>
    <t>630-280-1068</t>
  </si>
  <si>
    <t>strening@gmail.com</t>
  </si>
  <si>
    <t>Microsoft-Azure Solutions Sales Lead</t>
  </si>
  <si>
    <t>Swanton</t>
  </si>
  <si>
    <t>Jennifer Swanton</t>
  </si>
  <si>
    <t>Terry</t>
  </si>
  <si>
    <t>Switz</t>
  </si>
  <si>
    <t>Terry Switz</t>
  </si>
  <si>
    <t>Taggart</t>
  </si>
  <si>
    <t>Scott Taggart</t>
  </si>
  <si>
    <t>(480) 392-4962</t>
  </si>
  <si>
    <t>Scot92.Taggart@gmail.com</t>
  </si>
  <si>
    <t>Director of Sales</t>
  </si>
  <si>
    <t>0035d0000793iTlAAI</t>
  </si>
  <si>
    <t>Tatko</t>
  </si>
  <si>
    <t>David Tatko</t>
  </si>
  <si>
    <t>(330) 814-1749</t>
  </si>
  <si>
    <t>david.r.tatko@gmail.com</t>
  </si>
  <si>
    <t>Paychex-Strategic Business Consultant</t>
  </si>
  <si>
    <t>0035d00006iGLZ6AAO</t>
  </si>
  <si>
    <t>Thielen</t>
  </si>
  <si>
    <t>Danny Thielen</t>
  </si>
  <si>
    <t>602-3505881</t>
  </si>
  <si>
    <t>daniel.m.thielen@gmail.com</t>
  </si>
  <si>
    <t>Axon Enterprise - Strategic Account Executive</t>
  </si>
  <si>
    <t>Tuma</t>
  </si>
  <si>
    <t>Chris Tuma</t>
  </si>
  <si>
    <t>0031Y0000637kQnQAI</t>
  </si>
  <si>
    <t>Oye</t>
  </si>
  <si>
    <t>Waddell</t>
  </si>
  <si>
    <t>Oye Waddell</t>
  </si>
  <si>
    <t>323-972-2305</t>
  </si>
  <si>
    <t>oye.waddell@hustlephx.com</t>
  </si>
  <si>
    <t>Hustle PHX - CEO</t>
  </si>
  <si>
    <t>0031Y00005GT8MYQA1</t>
  </si>
  <si>
    <t>Ward</t>
  </si>
  <si>
    <t>Sean Ward</t>
  </si>
  <si>
    <t>602-618-4974</t>
  </si>
  <si>
    <t>natalieward0@gmail.com</t>
  </si>
  <si>
    <t>BNC National Bank - Senior VP Business &amp; Commercial Banking</t>
  </si>
  <si>
    <t>003i000001O9C8PAAV</t>
  </si>
  <si>
    <t>Wein</t>
  </si>
  <si>
    <t>Josh Wein</t>
  </si>
  <si>
    <t>480-432-4771</t>
  </si>
  <si>
    <t>weintime@gmail.com</t>
  </si>
  <si>
    <t>Home Smart - Residential Real Estate Sales Professional</t>
  </si>
  <si>
    <t>003i000000w9NxVAAU</t>
  </si>
  <si>
    <t>Weissman</t>
  </si>
  <si>
    <t>David Weissman</t>
  </si>
  <si>
    <t>602-535-6303</t>
  </si>
  <si>
    <t>diweissman@gmail.com</t>
  </si>
  <si>
    <t>Davis Miles - Partner</t>
  </si>
  <si>
    <t>003i000000w9NxUAAU</t>
  </si>
  <si>
    <t>Western</t>
  </si>
  <si>
    <t>Andrew Western</t>
  </si>
  <si>
    <t>602-329-3477</t>
  </si>
  <si>
    <t>awestern@omiaw.com</t>
  </si>
  <si>
    <t>Osborn Maledon - Partner</t>
  </si>
  <si>
    <t>0031Y00005kTGwbQAG</t>
  </si>
  <si>
    <t>Larry</t>
  </si>
  <si>
    <t>White</t>
  </si>
  <si>
    <t>Larry White</t>
  </si>
  <si>
    <t>602-405-2296</t>
  </si>
  <si>
    <t>larry.white@lkwconsulting.com</t>
  </si>
  <si>
    <t>LKW Consulting LLC - CEO</t>
  </si>
  <si>
    <t>003i000000NFo0DAAT</t>
  </si>
  <si>
    <t>Antone</t>
  </si>
  <si>
    <t>Antone White</t>
  </si>
  <si>
    <t>480-707-7759</t>
  </si>
  <si>
    <t>antone.white@ccw-llc.com</t>
  </si>
  <si>
    <t>Chase Carson &amp; White LLC-Managing Director</t>
  </si>
  <si>
    <t>003VX00000Yvt7SYAR</t>
  </si>
  <si>
    <t>Wiese</t>
  </si>
  <si>
    <t>Aaron Wiese</t>
  </si>
  <si>
    <t>(480) 278-0155</t>
  </si>
  <si>
    <t>aaron@prospect-recruiting.com</t>
  </si>
  <si>
    <t>Prospect Recruiting/Founder &amp; Principal</t>
  </si>
  <si>
    <t>Wilcox</t>
  </si>
  <si>
    <t>Mike Wilcox</t>
  </si>
  <si>
    <t>Glenn</t>
  </si>
  <si>
    <t>Wong</t>
  </si>
  <si>
    <t>Glenn Wong</t>
  </si>
  <si>
    <t>Carter</t>
  </si>
  <si>
    <t>Wood</t>
  </si>
  <si>
    <t>Carter Wood</t>
  </si>
  <si>
    <t>0035d00006iGLexAAG</t>
  </si>
  <si>
    <t>Rick</t>
  </si>
  <si>
    <t>Zieglowsky</t>
  </si>
  <si>
    <t>Rick Zieglowsky</t>
  </si>
  <si>
    <t>480-993-8707</t>
  </si>
  <si>
    <t>rick.zieglowsky@gmail.com</t>
  </si>
  <si>
    <t>American Arbitration Association - Vice President-Construction</t>
  </si>
  <si>
    <t>0031Y00005kTGzuQAG</t>
  </si>
  <si>
    <t>Frank</t>
  </si>
  <si>
    <t>Zimmerman</t>
  </si>
  <si>
    <t>Frank Zimmerman</t>
  </si>
  <si>
    <t>(602) 738-1103</t>
  </si>
  <si>
    <t>frank@rbwcompanies.com</t>
  </si>
  <si>
    <t>RBW Companies/R.B. White - COO</t>
  </si>
  <si>
    <t>Yellow Jacket Team</t>
  </si>
  <si>
    <t>First Year of Volunteering</t>
  </si>
  <si>
    <t>Bowl Position</t>
  </si>
  <si>
    <t>2021</t>
  </si>
  <si>
    <t>2020</t>
  </si>
  <si>
    <t>2012</t>
  </si>
  <si>
    <t>2022</t>
  </si>
  <si>
    <t>2023</t>
  </si>
  <si>
    <t>2019</t>
  </si>
  <si>
    <t>2024</t>
  </si>
  <si>
    <t>2025</t>
  </si>
  <si>
    <t>2017</t>
  </si>
  <si>
    <t>2018</t>
  </si>
  <si>
    <t>2010</t>
  </si>
  <si>
    <t>2011</t>
  </si>
  <si>
    <t>Sammy the Slug</t>
  </si>
  <si>
    <t>2008</t>
  </si>
  <si>
    <t>McClure</t>
  </si>
  <si>
    <t>2016</t>
  </si>
  <si>
    <t>Fiesta Future</t>
  </si>
  <si>
    <t>McMillian</t>
  </si>
  <si>
    <t>2013</t>
  </si>
  <si>
    <t>2009</t>
  </si>
  <si>
    <t>2015</t>
  </si>
  <si>
    <t>003VX00000vnkbPYAQ</t>
  </si>
  <si>
    <t>Scot</t>
  </si>
  <si>
    <t>2014</t>
  </si>
  <si>
    <t>Total</t>
  </si>
  <si>
    <t>Count</t>
  </si>
  <si>
    <t>First name</t>
  </si>
  <si>
    <t>Last name</t>
  </si>
  <si>
    <t>Phone</t>
  </si>
  <si>
    <t>Job</t>
  </si>
  <si>
    <t>25-26 Fundraising Dollars</t>
  </si>
  <si>
    <t>25-26 Fundraising Rank</t>
  </si>
  <si>
    <t>Kyle McMillian</t>
  </si>
  <si>
    <t>Kirk McClure</t>
  </si>
  <si>
    <t>2014-15</t>
  </si>
  <si>
    <t>$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</si>
</sst>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yyyy-m"/>
    <numFmt numFmtId="166" formatCode="yyyy-mm"/>
  </numFmts>
  <fonts count="9">
    <font>
      <sz val="11.0"/>
      <color theme="1"/>
      <name val="Calibri"/>
      <scheme val="minor"/>
    </font>
    <font>
      <color theme="1"/>
      <name val="Calibri"/>
    </font>
    <font>
      <b/>
      <color theme="1"/>
      <name val="Calibri"/>
    </font>
    <font>
      <color theme="1"/>
      <name val="Calibri"/>
      <scheme val="minor"/>
    </font>
    <font>
      <b/>
      <sz val="12.0"/>
      <color rgb="FF56585B"/>
      <name val="Calibri"/>
    </font>
    <font/>
    <font>
      <sz val="12.0"/>
      <color theme="1"/>
      <name val="Calibri"/>
    </font>
    <font>
      <sz val="11.0"/>
      <color theme="1"/>
      <name val="Calibri"/>
    </font>
    <font>
      <sz val="12.0"/>
      <color rgb="FF56585B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  <fill>
      <patternFill patternType="solid">
        <fgColor rgb="FFEAF5FC"/>
        <bgColor rgb="FFEAF5FC"/>
      </patternFill>
    </fill>
  </fills>
  <borders count="4">
    <border/>
    <border>
      <left style="thin">
        <color rgb="FFD5D3D1"/>
      </left>
      <top style="thin">
        <color rgb="FFD5D3D1"/>
      </top>
      <bottom style="thin">
        <color rgb="FFD5D3D1"/>
      </bottom>
    </border>
    <border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164" xfId="0" applyFont="1" applyNumberFormat="1"/>
    <xf borderId="0" fillId="0" fontId="3" numFmtId="0" xfId="0" applyFont="1"/>
    <xf borderId="0" fillId="0" fontId="1" numFmtId="165" xfId="0" applyFont="1" applyNumberFormat="1"/>
    <xf borderId="0" fillId="0" fontId="1" numFmtId="166" xfId="0" applyFont="1" applyNumberFormat="1"/>
    <xf borderId="1" fillId="2" fontId="4" numFmtId="0" xfId="0" applyAlignment="1" applyBorder="1" applyFill="1" applyFont="1">
      <alignment vertical="bottom"/>
    </xf>
    <xf borderId="2" fillId="0" fontId="5" numFmtId="0" xfId="0" applyBorder="1" applyFont="1"/>
    <xf borderId="3" fillId="2" fontId="4" numFmtId="0" xfId="0" applyAlignment="1" applyBorder="1" applyFont="1">
      <alignment vertical="bottom"/>
    </xf>
    <xf borderId="1" fillId="3" fontId="6" numFmtId="0" xfId="0" applyAlignment="1" applyBorder="1" applyFill="1" applyFont="1">
      <alignment vertical="bottom"/>
    </xf>
    <xf borderId="3" fillId="3" fontId="6" numFmtId="0" xfId="0" applyAlignment="1" applyBorder="1" applyFont="1">
      <alignment vertical="bottom"/>
    </xf>
    <xf borderId="3" fillId="3" fontId="7" numFmtId="0" xfId="0" applyAlignment="1" applyBorder="1" applyFont="1">
      <alignment vertical="bottom"/>
    </xf>
    <xf borderId="1" fillId="4" fontId="4" numFmtId="0" xfId="0" applyAlignment="1" applyBorder="1" applyFill="1" applyFont="1">
      <alignment vertical="bottom"/>
    </xf>
    <xf borderId="2" fillId="4" fontId="8" numFmtId="0" xfId="0" applyAlignment="1" applyBorder="1" applyFont="1">
      <alignment vertical="bottom"/>
    </xf>
    <xf borderId="3" fillId="4" fontId="6" numFmtId="0" xfId="0" applyAlignment="1" applyBorder="1" applyFont="1">
      <alignment horizontal="right" vertical="bottom"/>
    </xf>
    <xf borderId="3" fillId="4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3" width="13.43"/>
    <col customWidth="1" min="4" max="4" width="13.14"/>
    <col customWidth="1" min="5" max="5" width="21.14"/>
    <col customWidth="1" min="6" max="6" width="25.29"/>
    <col customWidth="1" min="7" max="7" width="18.43"/>
    <col customWidth="1" min="8" max="8" width="9.43"/>
    <col customWidth="1" min="9" max="9" width="18.57"/>
    <col customWidth="1" min="10" max="10" width="14.29"/>
    <col customWidth="1" min="11" max="11" width="34.43"/>
    <col customWidth="1" min="12" max="12" width="58.43"/>
    <col customWidth="1" min="13" max="13" width="12.43"/>
    <col customWidth="1" min="14" max="14" width="11.43"/>
    <col customWidth="1" min="15" max="27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4" t="s">
        <v>14</v>
      </c>
    </row>
    <row r="2">
      <c r="A2" s="1">
        <v>2041793.0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b">
        <v>1</v>
      </c>
      <c r="I2" s="1" t="s">
        <v>21</v>
      </c>
      <c r="J2" s="1" t="s">
        <v>22</v>
      </c>
      <c r="K2" s="1" t="s">
        <v>23</v>
      </c>
      <c r="L2" s="1" t="s">
        <v>24</v>
      </c>
      <c r="M2" s="5">
        <f t="array" ref="M2">XLOOKUP(C2&amp;D2, 'Yellow Jacket Fundraising 25-26'!$A$2:$A$112 &amp; 'Yellow Jacket Fundraising 25-26'!$B$2:$B$112, 'Yellow Jacket Fundraising 25-26'!$G$2:$G$112, "Not Found")</f>
        <v>20112</v>
      </c>
      <c r="N2" s="1" t="s">
        <v>25</v>
      </c>
      <c r="O2" s="6" t="str">
        <f>vlookup(B2,'SF Roster'!A:G,7,false)</f>
        <v>Committee Member</v>
      </c>
    </row>
    <row r="3">
      <c r="A3" s="1">
        <v>2138132.0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19</v>
      </c>
      <c r="G3" s="1" t="s">
        <v>30</v>
      </c>
      <c r="H3" s="1" t="b">
        <v>1</v>
      </c>
      <c r="I3" s="1" t="s">
        <v>31</v>
      </c>
      <c r="J3" s="1" t="s">
        <v>32</v>
      </c>
      <c r="K3" s="1" t="s">
        <v>33</v>
      </c>
      <c r="L3" s="1" t="s">
        <v>34</v>
      </c>
      <c r="M3" s="5" t="str">
        <f t="array" ref="M3">XLOOKUP(C3&amp;D3, 'Yellow Jacket Fundraising 25-26'!$A$2:$A$112 &amp; 'Yellow Jacket Fundraising 25-26'!$B$2:$B$112, 'Yellow Jacket Fundraising 25-26'!$G$2:$G$112, "Not Found")</f>
        <v>Future</v>
      </c>
      <c r="N3" s="1" t="s">
        <v>35</v>
      </c>
      <c r="O3" s="6" t="str">
        <f>vlookup(B3,'SF Roster'!A:G,7,false)</f>
        <v>#N/A</v>
      </c>
    </row>
    <row r="4">
      <c r="A4" s="1">
        <v>2041775.0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19</v>
      </c>
      <c r="G4" s="1" t="s">
        <v>20</v>
      </c>
      <c r="H4" s="1" t="b">
        <v>1</v>
      </c>
      <c r="I4" s="1" t="s">
        <v>40</v>
      </c>
      <c r="J4" s="1" t="s">
        <v>41</v>
      </c>
      <c r="K4" s="1" t="s">
        <v>42</v>
      </c>
      <c r="L4" s="1" t="s">
        <v>43</v>
      </c>
      <c r="M4" s="5">
        <f t="array" ref="M4">XLOOKUP(C4&amp;D4, 'Yellow Jacket Fundraising 25-26'!$A$2:$A$112 &amp; 'Yellow Jacket Fundraising 25-26'!$B$2:$B$112, 'Yellow Jacket Fundraising 25-26'!$G$2:$G$112, "Not Found")</f>
        <v>46431</v>
      </c>
      <c r="N4" s="1" t="s">
        <v>44</v>
      </c>
      <c r="O4" s="6" t="str">
        <f>vlookup(B4,'SF Roster'!A:G,7,false)</f>
        <v>Committee Member</v>
      </c>
    </row>
    <row r="5">
      <c r="A5" s="1">
        <v>93126.0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19</v>
      </c>
      <c r="G5" s="1" t="s">
        <v>20</v>
      </c>
      <c r="H5" s="1" t="b">
        <v>1</v>
      </c>
      <c r="I5" s="1" t="s">
        <v>49</v>
      </c>
      <c r="J5" s="1" t="s">
        <v>50</v>
      </c>
      <c r="K5" s="1" t="s">
        <v>51</v>
      </c>
      <c r="L5" s="1" t="s">
        <v>52</v>
      </c>
      <c r="M5" s="5">
        <f t="array" ref="M5">XLOOKUP(C5&amp;D5, 'Yellow Jacket Fundraising 25-26'!$A$2:$A$112 &amp; 'Yellow Jacket Fundraising 25-26'!$B$2:$B$112, 'Yellow Jacket Fundraising 25-26'!$G$2:$G$112, "Not Found")</f>
        <v>39259</v>
      </c>
      <c r="N5" s="1" t="s">
        <v>25</v>
      </c>
      <c r="O5" s="6" t="str">
        <f>vlookup(B5,'SF Roster'!A:G,7,false)</f>
        <v>Committee Member</v>
      </c>
    </row>
    <row r="6">
      <c r="A6" s="1">
        <v>2095489.0</v>
      </c>
      <c r="B6" s="1" t="s">
        <v>26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b">
        <v>1</v>
      </c>
      <c r="J6" s="1" t="s">
        <v>58</v>
      </c>
      <c r="K6" s="1" t="s">
        <v>58</v>
      </c>
      <c r="L6" s="1" t="s">
        <v>58</v>
      </c>
      <c r="M6" s="5" t="str">
        <f t="array" ref="M6">XLOOKUP(C6&amp;D6, 'Yellow Jacket Fundraising 25-26'!$A$2:$A$112 &amp; 'Yellow Jacket Fundraising 25-26'!$B$2:$B$112, 'Yellow Jacket Fundraising 25-26'!$G$2:$G$112, "Not Found")</f>
        <v>Not Found</v>
      </c>
      <c r="N6" s="1" t="s">
        <v>58</v>
      </c>
      <c r="O6" s="6" t="str">
        <f>vlookup(B6,'SF Roster'!A:G,7,false)</f>
        <v>#N/A</v>
      </c>
    </row>
    <row r="7">
      <c r="A7" s="1">
        <v>2138133.0</v>
      </c>
      <c r="B7" s="1" t="s">
        <v>26</v>
      </c>
      <c r="C7" s="1" t="s">
        <v>59</v>
      </c>
      <c r="D7" s="1" t="s">
        <v>60</v>
      </c>
      <c r="E7" s="1" t="s">
        <v>61</v>
      </c>
      <c r="F7" s="1" t="s">
        <v>19</v>
      </c>
      <c r="G7" s="1" t="s">
        <v>30</v>
      </c>
      <c r="H7" s="1" t="b">
        <v>1</v>
      </c>
      <c r="I7" s="1" t="s">
        <v>21</v>
      </c>
      <c r="J7" s="1" t="s">
        <v>62</v>
      </c>
      <c r="K7" s="1" t="s">
        <v>63</v>
      </c>
      <c r="L7" s="1" t="s">
        <v>64</v>
      </c>
      <c r="M7" s="5" t="str">
        <f t="array" ref="M7">XLOOKUP(C7&amp;D7, 'Yellow Jacket Fundraising 25-26'!$A$2:$A$112 &amp; 'Yellow Jacket Fundraising 25-26'!$B$2:$B$112, 'Yellow Jacket Fundraising 25-26'!$G$2:$G$112, "Not Found")</f>
        <v>Future</v>
      </c>
      <c r="N7" s="1" t="s">
        <v>35</v>
      </c>
      <c r="O7" s="6" t="str">
        <f>vlookup(B7,'SF Roster'!A:G,7,false)</f>
        <v>#N/A</v>
      </c>
    </row>
    <row r="8">
      <c r="A8" s="1">
        <v>79594.0</v>
      </c>
      <c r="B8" s="1" t="s">
        <v>26</v>
      </c>
      <c r="C8" s="1" t="s">
        <v>65</v>
      </c>
      <c r="D8" s="1" t="s">
        <v>66</v>
      </c>
      <c r="E8" s="1" t="s">
        <v>67</v>
      </c>
      <c r="F8" s="1" t="s">
        <v>56</v>
      </c>
      <c r="G8" s="1" t="s">
        <v>57</v>
      </c>
      <c r="H8" s="1" t="b">
        <v>1</v>
      </c>
      <c r="J8" s="1" t="s">
        <v>58</v>
      </c>
      <c r="K8" s="1" t="s">
        <v>58</v>
      </c>
      <c r="L8" s="1" t="s">
        <v>58</v>
      </c>
      <c r="M8" s="5" t="str">
        <f t="array" ref="M8">XLOOKUP(C8&amp;D8, 'Yellow Jacket Fundraising 25-26'!$A$2:$A$112 &amp; 'Yellow Jacket Fundraising 25-26'!$B$2:$B$112, 'Yellow Jacket Fundraising 25-26'!$G$2:$G$112, "Not Found")</f>
        <v>Not Found</v>
      </c>
      <c r="N8" s="1" t="s">
        <v>58</v>
      </c>
      <c r="O8" s="6" t="str">
        <f>vlookup(B8,'SF Roster'!A:G,7,false)</f>
        <v>#N/A</v>
      </c>
    </row>
    <row r="9">
      <c r="A9" s="1">
        <v>2041805.0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19</v>
      </c>
      <c r="G9" s="1" t="s">
        <v>20</v>
      </c>
      <c r="H9" s="1" t="b">
        <v>1</v>
      </c>
      <c r="I9" s="1" t="s">
        <v>72</v>
      </c>
      <c r="J9" s="1" t="s">
        <v>73</v>
      </c>
      <c r="K9" s="1" t="s">
        <v>74</v>
      </c>
      <c r="L9" s="1" t="s">
        <v>75</v>
      </c>
      <c r="M9" s="5">
        <f t="array" ref="M9">XLOOKUP(C9&amp;D9, 'Yellow Jacket Fundraising 25-26'!$A$2:$A$112 &amp; 'Yellow Jacket Fundraising 25-26'!$B$2:$B$112, 'Yellow Jacket Fundraising 25-26'!$G$2:$G$112, "Not Found")</f>
        <v>115548</v>
      </c>
      <c r="N9" s="1" t="s">
        <v>76</v>
      </c>
      <c r="O9" s="6" t="str">
        <f>vlookup(B9,'SF Roster'!A:G,7,false)</f>
        <v>Committee Member</v>
      </c>
    </row>
    <row r="10">
      <c r="A10" s="1">
        <v>2095186.0</v>
      </c>
      <c r="B10" s="1" t="s">
        <v>26</v>
      </c>
      <c r="C10" s="1" t="s">
        <v>77</v>
      </c>
      <c r="D10" s="1" t="s">
        <v>78</v>
      </c>
      <c r="E10" s="1" t="s">
        <v>79</v>
      </c>
      <c r="F10" s="1" t="s">
        <v>80</v>
      </c>
      <c r="G10" s="1" t="s">
        <v>81</v>
      </c>
      <c r="H10" s="1" t="b">
        <v>1</v>
      </c>
      <c r="J10" s="1" t="s">
        <v>58</v>
      </c>
      <c r="K10" s="1" t="s">
        <v>58</v>
      </c>
      <c r="L10" s="1" t="s">
        <v>58</v>
      </c>
      <c r="M10" s="5" t="str">
        <f t="array" ref="M10">XLOOKUP(C10&amp;D10, 'Yellow Jacket Fundraising 25-26'!$A$2:$A$112 &amp; 'Yellow Jacket Fundraising 25-26'!$B$2:$B$112, 'Yellow Jacket Fundraising 25-26'!$G$2:$G$112, "Not Found")</f>
        <v>Not Found</v>
      </c>
      <c r="N10" s="1" t="s">
        <v>58</v>
      </c>
      <c r="O10" s="6" t="str">
        <f>vlookup(B10,'SF Roster'!A:G,7,false)</f>
        <v>#N/A</v>
      </c>
    </row>
    <row r="11">
      <c r="A11" s="1">
        <v>2095195.0</v>
      </c>
      <c r="B11" s="1" t="s">
        <v>26</v>
      </c>
      <c r="C11" s="1" t="s">
        <v>82</v>
      </c>
      <c r="D11" s="1" t="s">
        <v>83</v>
      </c>
      <c r="E11" s="1" t="s">
        <v>84</v>
      </c>
      <c r="F11" s="1" t="s">
        <v>80</v>
      </c>
      <c r="G11" s="1" t="s">
        <v>81</v>
      </c>
      <c r="H11" s="1" t="b">
        <v>1</v>
      </c>
      <c r="J11" s="1" t="s">
        <v>58</v>
      </c>
      <c r="K11" s="1" t="s">
        <v>58</v>
      </c>
      <c r="L11" s="1" t="s">
        <v>58</v>
      </c>
      <c r="M11" s="5" t="str">
        <f t="array" ref="M11">XLOOKUP(C11&amp;D11, 'Yellow Jacket Fundraising 25-26'!$A$2:$A$112 &amp; 'Yellow Jacket Fundraising 25-26'!$B$2:$B$112, 'Yellow Jacket Fundraising 25-26'!$G$2:$G$112, "Not Found")</f>
        <v>Not Found</v>
      </c>
      <c r="N11" s="1" t="s">
        <v>58</v>
      </c>
      <c r="O11" s="6" t="str">
        <f>vlookup(B11,'SF Roster'!A:G,7,false)</f>
        <v>#N/A</v>
      </c>
    </row>
    <row r="12">
      <c r="A12" s="1">
        <v>100553.0</v>
      </c>
      <c r="B12" s="1" t="s">
        <v>26</v>
      </c>
      <c r="C12" s="1" t="s">
        <v>85</v>
      </c>
      <c r="D12" s="1" t="s">
        <v>86</v>
      </c>
      <c r="E12" s="1" t="s">
        <v>87</v>
      </c>
      <c r="F12" s="1" t="s">
        <v>56</v>
      </c>
      <c r="G12" s="1" t="s">
        <v>88</v>
      </c>
      <c r="H12" s="1" t="b">
        <v>1</v>
      </c>
      <c r="J12" s="1" t="s">
        <v>58</v>
      </c>
      <c r="K12" s="1" t="s">
        <v>58</v>
      </c>
      <c r="L12" s="1" t="s">
        <v>58</v>
      </c>
      <c r="M12" s="5" t="str">
        <f t="array" ref="M12">XLOOKUP(C12&amp;D12, 'Yellow Jacket Fundraising 25-26'!$A$2:$A$112 &amp; 'Yellow Jacket Fundraising 25-26'!$B$2:$B$112, 'Yellow Jacket Fundraising 25-26'!$G$2:$G$112, "Not Found")</f>
        <v>Not Found</v>
      </c>
      <c r="N12" s="1" t="s">
        <v>58</v>
      </c>
      <c r="O12" s="6" t="str">
        <f>vlookup(B12,'SF Roster'!A:G,7,false)</f>
        <v>#N/A</v>
      </c>
    </row>
    <row r="13">
      <c r="A13" s="1">
        <v>2041802.0</v>
      </c>
      <c r="B13" s="1" t="s">
        <v>26</v>
      </c>
      <c r="C13" s="1" t="s">
        <v>89</v>
      </c>
      <c r="D13" s="1" t="s">
        <v>90</v>
      </c>
      <c r="E13" s="1" t="s">
        <v>91</v>
      </c>
      <c r="F13" s="1" t="s">
        <v>56</v>
      </c>
      <c r="G13" s="1" t="s">
        <v>88</v>
      </c>
      <c r="H13" s="1" t="b">
        <v>1</v>
      </c>
      <c r="J13" s="1" t="s">
        <v>58</v>
      </c>
      <c r="K13" s="1" t="s">
        <v>58</v>
      </c>
      <c r="L13" s="1" t="s">
        <v>58</v>
      </c>
      <c r="M13" s="5" t="str">
        <f t="array" ref="M13">XLOOKUP(C13&amp;D13, 'Yellow Jacket Fundraising 25-26'!$A$2:$A$112 &amp; 'Yellow Jacket Fundraising 25-26'!$B$2:$B$112, 'Yellow Jacket Fundraising 25-26'!$G$2:$G$112, "Not Found")</f>
        <v>Not Found</v>
      </c>
      <c r="N13" s="1" t="s">
        <v>58</v>
      </c>
      <c r="O13" s="6" t="str">
        <f>vlookup(B13,'SF Roster'!A:G,7,false)</f>
        <v>#N/A</v>
      </c>
    </row>
    <row r="14">
      <c r="A14" s="1">
        <v>2095193.0</v>
      </c>
      <c r="B14" s="1" t="s">
        <v>26</v>
      </c>
      <c r="C14" s="1" t="s">
        <v>92</v>
      </c>
      <c r="D14" s="1" t="s">
        <v>93</v>
      </c>
      <c r="E14" s="1" t="s">
        <v>94</v>
      </c>
      <c r="F14" s="1" t="s">
        <v>80</v>
      </c>
      <c r="G14" s="1" t="s">
        <v>81</v>
      </c>
      <c r="H14" s="1" t="b">
        <v>1</v>
      </c>
      <c r="J14" s="1" t="s">
        <v>58</v>
      </c>
      <c r="K14" s="1" t="s">
        <v>58</v>
      </c>
      <c r="L14" s="1" t="s">
        <v>58</v>
      </c>
      <c r="M14" s="5" t="str">
        <f t="array" ref="M14">XLOOKUP(C14&amp;D14, 'Yellow Jacket Fundraising 25-26'!$A$2:$A$112 &amp; 'Yellow Jacket Fundraising 25-26'!$B$2:$B$112, 'Yellow Jacket Fundraising 25-26'!$G$2:$G$112, "Not Found")</f>
        <v>Not Found</v>
      </c>
      <c r="N14" s="1" t="s">
        <v>58</v>
      </c>
      <c r="O14" s="6" t="str">
        <f>vlookup(B14,'SF Roster'!A:G,7,false)</f>
        <v>#N/A</v>
      </c>
    </row>
    <row r="15">
      <c r="A15" s="1">
        <v>2041836.0</v>
      </c>
      <c r="B15" s="1" t="s">
        <v>95</v>
      </c>
      <c r="C15" s="1" t="s">
        <v>96</v>
      </c>
      <c r="D15" s="1" t="s">
        <v>97</v>
      </c>
      <c r="E15" s="1" t="s">
        <v>98</v>
      </c>
      <c r="F15" s="1" t="s">
        <v>19</v>
      </c>
      <c r="G15" s="1" t="s">
        <v>20</v>
      </c>
      <c r="H15" s="1" t="b">
        <v>1</v>
      </c>
      <c r="I15" s="1" t="s">
        <v>99</v>
      </c>
      <c r="J15" s="1" t="s">
        <v>100</v>
      </c>
      <c r="K15" s="1" t="s">
        <v>101</v>
      </c>
      <c r="L15" s="1" t="s">
        <v>102</v>
      </c>
      <c r="M15" s="5">
        <f t="array" ref="M15">XLOOKUP(C15&amp;D15, 'Yellow Jacket Fundraising 25-26'!$A$2:$A$112 &amp; 'Yellow Jacket Fundraising 25-26'!$B$2:$B$112, 'Yellow Jacket Fundraising 25-26'!$G$2:$G$112, "Not Found")</f>
        <v>19523</v>
      </c>
      <c r="N15" s="1" t="s">
        <v>103</v>
      </c>
      <c r="O15" s="6" t="str">
        <f>vlookup(B15,'SF Roster'!A:G,7,false)</f>
        <v>Committee Member</v>
      </c>
    </row>
    <row r="16">
      <c r="A16" s="1">
        <v>2044787.0</v>
      </c>
      <c r="B16" s="1" t="s">
        <v>26</v>
      </c>
      <c r="C16" s="1" t="s">
        <v>104</v>
      </c>
      <c r="D16" s="1" t="s">
        <v>105</v>
      </c>
      <c r="E16" s="1" t="s">
        <v>106</v>
      </c>
      <c r="F16" s="1" t="s">
        <v>19</v>
      </c>
      <c r="H16" s="1" t="b">
        <v>0</v>
      </c>
      <c r="J16" s="1" t="s">
        <v>58</v>
      </c>
      <c r="K16" s="1" t="s">
        <v>58</v>
      </c>
      <c r="L16" s="1" t="s">
        <v>58</v>
      </c>
      <c r="M16" s="5" t="str">
        <f t="array" ref="M16">XLOOKUP(C16&amp;D16, 'Yellow Jacket Fundraising 25-26'!$A$2:$A$112 &amp; 'Yellow Jacket Fundraising 25-26'!$B$2:$B$112, 'Yellow Jacket Fundraising 25-26'!$G$2:$G$112, "Not Found")</f>
        <v>Not Found</v>
      </c>
      <c r="N16" s="1" t="s">
        <v>58</v>
      </c>
      <c r="O16" s="6" t="str">
        <f>vlookup(B16,'SF Roster'!A:G,7,false)</f>
        <v>#N/A</v>
      </c>
    </row>
    <row r="17">
      <c r="A17" s="1">
        <v>2044788.0</v>
      </c>
      <c r="B17" s="1" t="s">
        <v>107</v>
      </c>
      <c r="C17" s="1" t="s">
        <v>89</v>
      </c>
      <c r="D17" s="1" t="s">
        <v>108</v>
      </c>
      <c r="E17" s="1" t="s">
        <v>109</v>
      </c>
      <c r="F17" s="1" t="s">
        <v>19</v>
      </c>
      <c r="G17" s="1" t="s">
        <v>20</v>
      </c>
      <c r="H17" s="1" t="b">
        <v>1</v>
      </c>
      <c r="I17" s="1" t="s">
        <v>110</v>
      </c>
      <c r="J17" s="1" t="s">
        <v>111</v>
      </c>
      <c r="K17" s="1" t="s">
        <v>112</v>
      </c>
      <c r="L17" s="1" t="s">
        <v>113</v>
      </c>
      <c r="M17" s="5">
        <f t="array" ref="M17">XLOOKUP(C17&amp;D17, 'Yellow Jacket Fundraising 25-26'!$A$2:$A$112 &amp; 'Yellow Jacket Fundraising 25-26'!$B$2:$B$112, 'Yellow Jacket Fundraising 25-26'!$G$2:$G$112, "Not Found")</f>
        <v>8493</v>
      </c>
      <c r="N17" s="1" t="s">
        <v>114</v>
      </c>
      <c r="O17" s="6" t="str">
        <f>vlookup(B17,'SF Roster'!A:G,7,false)</f>
        <v>Committee Member</v>
      </c>
    </row>
    <row r="18">
      <c r="A18" s="1">
        <v>2041858.0</v>
      </c>
      <c r="B18" s="1" t="s">
        <v>26</v>
      </c>
      <c r="C18" s="1" t="s">
        <v>115</v>
      </c>
      <c r="D18" s="1" t="s">
        <v>116</v>
      </c>
      <c r="E18" s="1" t="s">
        <v>117</v>
      </c>
      <c r="F18" s="1" t="s">
        <v>19</v>
      </c>
      <c r="H18" s="1" t="b">
        <v>0</v>
      </c>
      <c r="J18" s="1" t="s">
        <v>58</v>
      </c>
      <c r="K18" s="1" t="s">
        <v>58</v>
      </c>
      <c r="L18" s="1" t="s">
        <v>58</v>
      </c>
      <c r="M18" s="5" t="str">
        <f t="array" ref="M18">XLOOKUP(C18&amp;D18, 'Yellow Jacket Fundraising 25-26'!$A$2:$A$112 &amp; 'Yellow Jacket Fundraising 25-26'!$B$2:$B$112, 'Yellow Jacket Fundraising 25-26'!$G$2:$G$112, "Not Found")</f>
        <v>Not Found</v>
      </c>
      <c r="N18" s="1" t="s">
        <v>58</v>
      </c>
      <c r="O18" s="6" t="str">
        <f>vlookup(B18,'SF Roster'!A:G,7,false)</f>
        <v>#N/A</v>
      </c>
    </row>
    <row r="19">
      <c r="A19" s="1">
        <v>105682.0</v>
      </c>
      <c r="B19" s="1" t="s">
        <v>118</v>
      </c>
      <c r="C19" s="1" t="s">
        <v>119</v>
      </c>
      <c r="D19" s="1" t="s">
        <v>120</v>
      </c>
      <c r="E19" s="1" t="s">
        <v>121</v>
      </c>
      <c r="F19" s="1" t="s">
        <v>19</v>
      </c>
      <c r="G19" s="1" t="s">
        <v>20</v>
      </c>
      <c r="H19" s="1" t="b">
        <v>1</v>
      </c>
      <c r="I19" s="1" t="s">
        <v>122</v>
      </c>
      <c r="J19" s="1" t="s">
        <v>123</v>
      </c>
      <c r="K19" s="1" t="s">
        <v>124</v>
      </c>
      <c r="L19" s="1" t="s">
        <v>125</v>
      </c>
      <c r="M19" s="5">
        <f t="array" ref="M19">XLOOKUP(C19&amp;D19, 'Yellow Jacket Fundraising 25-26'!$A$2:$A$112 &amp; 'Yellow Jacket Fundraising 25-26'!$B$2:$B$112, 'Yellow Jacket Fundraising 25-26'!$G$2:$G$112, "Not Found")</f>
        <v>50127</v>
      </c>
      <c r="N19" s="1" t="s">
        <v>103</v>
      </c>
      <c r="O19" s="6" t="str">
        <f>vlookup(B19,'SF Roster'!A:G,7,false)</f>
        <v>Committee Member</v>
      </c>
    </row>
    <row r="20">
      <c r="A20" s="1">
        <v>97581.0</v>
      </c>
      <c r="B20" s="1" t="s">
        <v>26</v>
      </c>
      <c r="C20" s="1" t="s">
        <v>126</v>
      </c>
      <c r="D20" s="1" t="s">
        <v>127</v>
      </c>
      <c r="E20" s="1" t="s">
        <v>128</v>
      </c>
      <c r="F20" s="1" t="s">
        <v>56</v>
      </c>
      <c r="G20" s="1" t="s">
        <v>88</v>
      </c>
      <c r="H20" s="1" t="b">
        <v>1</v>
      </c>
      <c r="J20" s="1" t="s">
        <v>58</v>
      </c>
      <c r="K20" s="1" t="s">
        <v>58</v>
      </c>
      <c r="L20" s="1" t="s">
        <v>58</v>
      </c>
      <c r="M20" s="5" t="str">
        <f t="array" ref="M20">XLOOKUP(C20&amp;D20, 'Yellow Jacket Fundraising 25-26'!$A$2:$A$112 &amp; 'Yellow Jacket Fundraising 25-26'!$B$2:$B$112, 'Yellow Jacket Fundraising 25-26'!$G$2:$G$112, "Not Found")</f>
        <v>Not Found</v>
      </c>
      <c r="N20" s="1" t="s">
        <v>58</v>
      </c>
      <c r="O20" s="6" t="str">
        <f>vlookup(B20,'SF Roster'!A:G,7,false)</f>
        <v>#N/A</v>
      </c>
    </row>
    <row r="21" ht="15.75" customHeight="1">
      <c r="A21" s="1">
        <v>2044789.0</v>
      </c>
      <c r="B21" s="1" t="s">
        <v>26</v>
      </c>
      <c r="C21" s="1" t="s">
        <v>129</v>
      </c>
      <c r="D21" s="1" t="s">
        <v>130</v>
      </c>
      <c r="E21" s="1" t="s">
        <v>131</v>
      </c>
      <c r="F21" s="1" t="s">
        <v>19</v>
      </c>
      <c r="H21" s="1" t="b">
        <v>0</v>
      </c>
      <c r="J21" s="1" t="s">
        <v>58</v>
      </c>
      <c r="K21" s="1" t="s">
        <v>58</v>
      </c>
      <c r="L21" s="1" t="s">
        <v>58</v>
      </c>
      <c r="M21" s="5" t="str">
        <f t="array" ref="M21">XLOOKUP(C21&amp;D21, 'Yellow Jacket Fundraising 25-26'!$A$2:$A$112 &amp; 'Yellow Jacket Fundraising 25-26'!$B$2:$B$112, 'Yellow Jacket Fundraising 25-26'!$G$2:$G$112, "Not Found")</f>
        <v>Not Found</v>
      </c>
      <c r="N21" s="1" t="s">
        <v>58</v>
      </c>
      <c r="O21" s="6" t="str">
        <f>vlookup(B21,'SF Roster'!A:G,7,false)</f>
        <v>#N/A</v>
      </c>
    </row>
    <row r="22" ht="15.75" customHeight="1">
      <c r="A22" s="1">
        <v>2044790.0</v>
      </c>
      <c r="B22" s="1" t="s">
        <v>132</v>
      </c>
      <c r="C22" s="1" t="s">
        <v>133</v>
      </c>
      <c r="D22" s="1" t="s">
        <v>134</v>
      </c>
      <c r="E22" s="1" t="s">
        <v>135</v>
      </c>
      <c r="F22" s="1" t="s">
        <v>19</v>
      </c>
      <c r="G22" s="1" t="s">
        <v>20</v>
      </c>
      <c r="H22" s="1" t="b">
        <v>1</v>
      </c>
      <c r="I22" s="1" t="s">
        <v>136</v>
      </c>
      <c r="J22" s="1" t="s">
        <v>137</v>
      </c>
      <c r="K22" s="1" t="s">
        <v>138</v>
      </c>
      <c r="L22" s="1" t="s">
        <v>139</v>
      </c>
      <c r="M22" s="5">
        <f t="array" ref="M22">XLOOKUP(C22&amp;D22, 'Yellow Jacket Fundraising 25-26'!$A$2:$A$112 &amp; 'Yellow Jacket Fundraising 25-26'!$B$2:$B$112, 'Yellow Jacket Fundraising 25-26'!$G$2:$G$112, "Not Found")</f>
        <v>27359</v>
      </c>
      <c r="N22" s="1" t="s">
        <v>114</v>
      </c>
      <c r="O22" s="6" t="str">
        <f>vlookup(B22,'SF Roster'!A:G,7,false)</f>
        <v>Committee Member</v>
      </c>
    </row>
    <row r="23" ht="15.75" customHeight="1">
      <c r="A23" s="1">
        <v>2095202.0</v>
      </c>
      <c r="B23" s="1" t="s">
        <v>26</v>
      </c>
      <c r="C23" s="1" t="s">
        <v>140</v>
      </c>
      <c r="D23" s="1" t="s">
        <v>141</v>
      </c>
      <c r="E23" s="1" t="s">
        <v>142</v>
      </c>
      <c r="F23" s="1" t="s">
        <v>80</v>
      </c>
      <c r="G23" s="1" t="s">
        <v>81</v>
      </c>
      <c r="H23" s="1" t="b">
        <v>1</v>
      </c>
      <c r="J23" s="1" t="s">
        <v>58</v>
      </c>
      <c r="K23" s="1" t="s">
        <v>58</v>
      </c>
      <c r="L23" s="1" t="s">
        <v>58</v>
      </c>
      <c r="M23" s="5" t="str">
        <f t="array" ref="M23">XLOOKUP(C23&amp;D23, 'Yellow Jacket Fundraising 25-26'!$A$2:$A$112 &amp; 'Yellow Jacket Fundraising 25-26'!$B$2:$B$112, 'Yellow Jacket Fundraising 25-26'!$G$2:$G$112, "Not Found")</f>
        <v>Not Found</v>
      </c>
      <c r="N23" s="1" t="s">
        <v>58</v>
      </c>
      <c r="O23" s="6" t="str">
        <f>vlookup(B23,'SF Roster'!A:G,7,false)</f>
        <v>#N/A</v>
      </c>
    </row>
    <row r="24" ht="15.75" customHeight="1">
      <c r="A24" s="1">
        <v>2138142.0</v>
      </c>
      <c r="B24" s="1" t="s">
        <v>26</v>
      </c>
      <c r="C24" s="1" t="s">
        <v>104</v>
      </c>
      <c r="D24" s="1" t="s">
        <v>143</v>
      </c>
      <c r="E24" s="1" t="s">
        <v>144</v>
      </c>
      <c r="F24" s="1" t="s">
        <v>80</v>
      </c>
      <c r="G24" s="1" t="s">
        <v>81</v>
      </c>
      <c r="H24" s="1" t="b">
        <v>1</v>
      </c>
      <c r="J24" s="1" t="s">
        <v>58</v>
      </c>
      <c r="K24" s="1" t="s">
        <v>58</v>
      </c>
      <c r="L24" s="1" t="s">
        <v>58</v>
      </c>
      <c r="M24" s="5" t="str">
        <f t="array" ref="M24">XLOOKUP(C24&amp;D24, 'Yellow Jacket Fundraising 25-26'!$A$2:$A$112 &amp; 'Yellow Jacket Fundraising 25-26'!$B$2:$B$112, 'Yellow Jacket Fundraising 25-26'!$G$2:$G$112, "Not Found")</f>
        <v>Not Found</v>
      </c>
      <c r="N24" s="1" t="s">
        <v>58</v>
      </c>
      <c r="O24" s="6" t="str">
        <f>vlookup(B24,'SF Roster'!A:G,7,false)</f>
        <v>#N/A</v>
      </c>
    </row>
    <row r="25" ht="15.75" customHeight="1">
      <c r="A25" s="1">
        <v>100695.0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19</v>
      </c>
      <c r="G25" s="1" t="s">
        <v>20</v>
      </c>
      <c r="H25" s="1" t="b">
        <v>1</v>
      </c>
      <c r="I25" s="1" t="s">
        <v>31</v>
      </c>
      <c r="J25" s="1" t="s">
        <v>149</v>
      </c>
      <c r="K25" s="1" t="s">
        <v>150</v>
      </c>
      <c r="L25" s="1" t="s">
        <v>151</v>
      </c>
      <c r="M25" s="5">
        <f t="array" ref="M25">XLOOKUP(C25&amp;D25, 'Yellow Jacket Fundraising 25-26'!$A$2:$A$112 &amp; 'Yellow Jacket Fundraising 25-26'!$B$2:$B$112, 'Yellow Jacket Fundraising 25-26'!$G$2:$G$112, "Not Found")</f>
        <v>14319</v>
      </c>
      <c r="N25" s="1" t="s">
        <v>152</v>
      </c>
      <c r="O25" s="6" t="str">
        <f>vlookup(B25,'SF Roster'!A:G,7,false)</f>
        <v>Committee Member</v>
      </c>
    </row>
    <row r="26" ht="15.75" customHeight="1">
      <c r="A26" s="1">
        <v>2041835.0</v>
      </c>
      <c r="B26" s="1" t="s">
        <v>153</v>
      </c>
      <c r="C26" s="1" t="s">
        <v>154</v>
      </c>
      <c r="D26" s="1" t="s">
        <v>155</v>
      </c>
      <c r="E26" s="1" t="s">
        <v>156</v>
      </c>
      <c r="F26" s="1" t="s">
        <v>19</v>
      </c>
      <c r="G26" s="1" t="s">
        <v>20</v>
      </c>
      <c r="H26" s="1" t="b">
        <v>1</v>
      </c>
      <c r="I26" s="1" t="s">
        <v>49</v>
      </c>
      <c r="J26" s="1" t="s">
        <v>157</v>
      </c>
      <c r="K26" s="1" t="s">
        <v>158</v>
      </c>
      <c r="L26" s="1" t="s">
        <v>159</v>
      </c>
      <c r="M26" s="5">
        <f t="array" ref="M26">XLOOKUP(C26&amp;D26, 'Yellow Jacket Fundraising 25-26'!$A$2:$A$112 &amp; 'Yellow Jacket Fundraising 25-26'!$B$2:$B$112, 'Yellow Jacket Fundraising 25-26'!$G$2:$G$112, "Not Found")</f>
        <v>8158</v>
      </c>
      <c r="N26" s="1" t="s">
        <v>103</v>
      </c>
      <c r="O26" s="6" t="str">
        <f>vlookup(B26,'SF Roster'!A:G,7,false)</f>
        <v>Committee Member</v>
      </c>
    </row>
    <row r="27" ht="15.75" customHeight="1">
      <c r="A27" s="1">
        <v>2138160.0</v>
      </c>
      <c r="B27" s="1" t="s">
        <v>26</v>
      </c>
      <c r="C27" s="1" t="s">
        <v>160</v>
      </c>
      <c r="D27" s="1" t="s">
        <v>161</v>
      </c>
      <c r="E27" s="1" t="s">
        <v>162</v>
      </c>
      <c r="F27" s="1" t="s">
        <v>19</v>
      </c>
      <c r="G27" s="1" t="s">
        <v>30</v>
      </c>
      <c r="H27" s="1" t="b">
        <v>1</v>
      </c>
      <c r="I27" s="1" t="s">
        <v>72</v>
      </c>
      <c r="J27" s="1" t="s">
        <v>163</v>
      </c>
      <c r="K27" s="1" t="s">
        <v>164</v>
      </c>
      <c r="L27" s="1" t="s">
        <v>165</v>
      </c>
      <c r="M27" s="5" t="str">
        <f t="array" ref="M27">XLOOKUP(C27&amp;D27, 'Yellow Jacket Fundraising 25-26'!$A$2:$A$112 &amp; 'Yellow Jacket Fundraising 25-26'!$B$2:$B$112, 'Yellow Jacket Fundraising 25-26'!$G$2:$G$112, "Not Found")</f>
        <v>Future</v>
      </c>
      <c r="N27" s="1" t="s">
        <v>35</v>
      </c>
      <c r="O27" s="6" t="str">
        <f>vlookup(B27,'SF Roster'!A:G,7,false)</f>
        <v>#N/A</v>
      </c>
    </row>
    <row r="28" ht="15.75" customHeight="1">
      <c r="A28" s="1">
        <v>2041837.0</v>
      </c>
      <c r="B28" s="1" t="s">
        <v>26</v>
      </c>
      <c r="C28" s="1" t="s">
        <v>166</v>
      </c>
      <c r="D28" s="1" t="s">
        <v>167</v>
      </c>
      <c r="E28" s="1" t="s">
        <v>168</v>
      </c>
      <c r="F28" s="1" t="s">
        <v>19</v>
      </c>
      <c r="H28" s="1" t="b">
        <v>0</v>
      </c>
      <c r="J28" s="1" t="s">
        <v>58</v>
      </c>
      <c r="K28" s="1" t="s">
        <v>58</v>
      </c>
      <c r="L28" s="1" t="s">
        <v>58</v>
      </c>
      <c r="M28" s="5" t="str">
        <f t="array" ref="M28">XLOOKUP(C28&amp;D28, 'Yellow Jacket Fundraising 25-26'!$A$2:$A$112 &amp; 'Yellow Jacket Fundraising 25-26'!$B$2:$B$112, 'Yellow Jacket Fundraising 25-26'!$G$2:$G$112, "Not Found")</f>
        <v>Not Found</v>
      </c>
      <c r="N28" s="1" t="s">
        <v>58</v>
      </c>
      <c r="O28" s="6" t="str">
        <f>vlookup(B28,'SF Roster'!A:G,7,false)</f>
        <v>#N/A</v>
      </c>
    </row>
    <row r="29" ht="15.75" customHeight="1">
      <c r="A29" s="1">
        <v>2095205.0</v>
      </c>
      <c r="B29" s="1" t="s">
        <v>26</v>
      </c>
      <c r="C29" s="1" t="s">
        <v>169</v>
      </c>
      <c r="D29" s="1" t="s">
        <v>170</v>
      </c>
      <c r="E29" s="1" t="s">
        <v>171</v>
      </c>
      <c r="F29" s="1" t="s">
        <v>80</v>
      </c>
      <c r="G29" s="1" t="s">
        <v>81</v>
      </c>
      <c r="H29" s="1" t="b">
        <v>1</v>
      </c>
      <c r="J29" s="1" t="s">
        <v>58</v>
      </c>
      <c r="K29" s="1" t="s">
        <v>58</v>
      </c>
      <c r="L29" s="1" t="s">
        <v>58</v>
      </c>
      <c r="M29" s="5" t="str">
        <f t="array" ref="M29">XLOOKUP(C29&amp;D29, 'Yellow Jacket Fundraising 25-26'!$A$2:$A$112 &amp; 'Yellow Jacket Fundraising 25-26'!$B$2:$B$112, 'Yellow Jacket Fundraising 25-26'!$G$2:$G$112, "Not Found")</f>
        <v>Not Found</v>
      </c>
      <c r="N29" s="1" t="s">
        <v>58</v>
      </c>
      <c r="O29" s="6" t="str">
        <f>vlookup(B29,'SF Roster'!A:G,7,false)</f>
        <v>#N/A</v>
      </c>
    </row>
    <row r="30" ht="15.75" customHeight="1">
      <c r="A30" s="1">
        <v>2041838.0</v>
      </c>
      <c r="B30" s="1" t="s">
        <v>26</v>
      </c>
      <c r="C30" s="1" t="s">
        <v>172</v>
      </c>
      <c r="D30" s="1" t="s">
        <v>173</v>
      </c>
      <c r="E30" s="1" t="s">
        <v>174</v>
      </c>
      <c r="F30" s="1" t="s">
        <v>56</v>
      </c>
      <c r="G30" s="1" t="s">
        <v>88</v>
      </c>
      <c r="H30" s="1" t="b">
        <v>1</v>
      </c>
      <c r="J30" s="1" t="s">
        <v>58</v>
      </c>
      <c r="K30" s="1" t="s">
        <v>58</v>
      </c>
      <c r="L30" s="1" t="s">
        <v>58</v>
      </c>
      <c r="M30" s="5" t="str">
        <f t="array" ref="M30">XLOOKUP(C30&amp;D30, 'Yellow Jacket Fundraising 25-26'!$A$2:$A$112 &amp; 'Yellow Jacket Fundraising 25-26'!$B$2:$B$112, 'Yellow Jacket Fundraising 25-26'!$G$2:$G$112, "Not Found")</f>
        <v>Not Found</v>
      </c>
      <c r="N30" s="1" t="s">
        <v>58</v>
      </c>
      <c r="O30" s="6" t="str">
        <f>vlookup(B30,'SF Roster'!A:G,7,false)</f>
        <v>#N/A</v>
      </c>
    </row>
    <row r="31" ht="15.75" customHeight="1">
      <c r="A31" s="1">
        <v>2062813.0</v>
      </c>
      <c r="B31" s="1" t="s">
        <v>175</v>
      </c>
      <c r="C31" s="1" t="s">
        <v>176</v>
      </c>
      <c r="D31" s="1" t="s">
        <v>177</v>
      </c>
      <c r="E31" s="1" t="s">
        <v>178</v>
      </c>
      <c r="F31" s="1" t="s">
        <v>19</v>
      </c>
      <c r="G31" s="1" t="s">
        <v>20</v>
      </c>
      <c r="H31" s="1" t="b">
        <v>1</v>
      </c>
      <c r="I31" s="1" t="s">
        <v>49</v>
      </c>
      <c r="J31" s="1" t="s">
        <v>179</v>
      </c>
      <c r="K31" s="1" t="s">
        <v>180</v>
      </c>
      <c r="L31" s="1" t="s">
        <v>181</v>
      </c>
      <c r="M31" s="5">
        <f t="array" ref="M31">XLOOKUP(C31&amp;D31, 'Yellow Jacket Fundraising 25-26'!$A$2:$A$112 &amp; 'Yellow Jacket Fundraising 25-26'!$B$2:$B$112, 'Yellow Jacket Fundraising 25-26'!$G$2:$G$112, "Not Found")</f>
        <v>20034</v>
      </c>
      <c r="N31" s="1" t="s">
        <v>182</v>
      </c>
      <c r="O31" s="6" t="str">
        <f>vlookup(B31,'SF Roster'!A:G,7,false)</f>
        <v>Committee Member</v>
      </c>
    </row>
    <row r="32" ht="15.75" customHeight="1">
      <c r="A32" s="1">
        <v>2041855.0</v>
      </c>
      <c r="B32" s="1" t="s">
        <v>26</v>
      </c>
      <c r="C32" s="1" t="s">
        <v>183</v>
      </c>
      <c r="D32" s="1" t="s">
        <v>184</v>
      </c>
      <c r="E32" s="1" t="s">
        <v>185</v>
      </c>
      <c r="F32" s="1" t="s">
        <v>19</v>
      </c>
      <c r="H32" s="1" t="b">
        <v>0</v>
      </c>
      <c r="J32" s="1" t="s">
        <v>58</v>
      </c>
      <c r="K32" s="1" t="s">
        <v>58</v>
      </c>
      <c r="L32" s="1" t="s">
        <v>58</v>
      </c>
      <c r="M32" s="5" t="str">
        <f t="array" ref="M32">XLOOKUP(C32&amp;D32, 'Yellow Jacket Fundraising 25-26'!$A$2:$A$112 &amp; 'Yellow Jacket Fundraising 25-26'!$B$2:$B$112, 'Yellow Jacket Fundraising 25-26'!$G$2:$G$112, "Not Found")</f>
        <v>Not Found</v>
      </c>
      <c r="N32" s="1" t="s">
        <v>58</v>
      </c>
      <c r="O32" s="6" t="str">
        <f>vlookup(B32,'SF Roster'!A:G,7,false)</f>
        <v>#N/A</v>
      </c>
    </row>
    <row r="33" ht="15.75" customHeight="1">
      <c r="A33" s="1">
        <v>2095088.0</v>
      </c>
      <c r="B33" s="1" t="s">
        <v>26</v>
      </c>
      <c r="C33" s="1" t="s">
        <v>186</v>
      </c>
      <c r="D33" s="1" t="s">
        <v>187</v>
      </c>
      <c r="E33" s="1" t="s">
        <v>188</v>
      </c>
      <c r="F33" s="1" t="s">
        <v>19</v>
      </c>
      <c r="H33" s="1" t="b">
        <v>0</v>
      </c>
      <c r="J33" s="1" t="s">
        <v>58</v>
      </c>
      <c r="K33" s="1" t="s">
        <v>58</v>
      </c>
      <c r="L33" s="1" t="s">
        <v>58</v>
      </c>
      <c r="M33" s="5" t="str">
        <f t="array" ref="M33">XLOOKUP(C33&amp;D33, 'Yellow Jacket Fundraising 25-26'!$A$2:$A$112 &amp; 'Yellow Jacket Fundraising 25-26'!$B$2:$B$112, 'Yellow Jacket Fundraising 25-26'!$G$2:$G$112, "Not Found")</f>
        <v>Not Found</v>
      </c>
      <c r="N33" s="1" t="s">
        <v>58</v>
      </c>
      <c r="O33" s="6" t="str">
        <f>vlookup(B33,'SF Roster'!A:G,7,false)</f>
        <v>#N/A</v>
      </c>
    </row>
    <row r="34" ht="15.75" customHeight="1">
      <c r="A34" s="1">
        <v>2041783.0</v>
      </c>
      <c r="B34" s="1" t="s">
        <v>26</v>
      </c>
      <c r="C34" s="1" t="s">
        <v>189</v>
      </c>
      <c r="D34" s="1" t="s">
        <v>190</v>
      </c>
      <c r="E34" s="1" t="s">
        <v>191</v>
      </c>
      <c r="F34" s="1" t="s">
        <v>56</v>
      </c>
      <c r="G34" s="1" t="s">
        <v>88</v>
      </c>
      <c r="H34" s="1" t="b">
        <v>1</v>
      </c>
      <c r="J34" s="1" t="s">
        <v>58</v>
      </c>
      <c r="K34" s="1" t="s">
        <v>58</v>
      </c>
      <c r="L34" s="1" t="s">
        <v>58</v>
      </c>
      <c r="M34" s="5" t="str">
        <f t="array" ref="M34">XLOOKUP(C34&amp;D34, 'Yellow Jacket Fundraising 25-26'!$A$2:$A$112 &amp; 'Yellow Jacket Fundraising 25-26'!$B$2:$B$112, 'Yellow Jacket Fundraising 25-26'!$G$2:$G$112, "Not Found")</f>
        <v>Not Found</v>
      </c>
      <c r="N34" s="1" t="s">
        <v>58</v>
      </c>
      <c r="O34" s="6" t="str">
        <f>vlookup(B34,'SF Roster'!A:G,7,false)</f>
        <v>#N/A</v>
      </c>
    </row>
    <row r="35" ht="15.75" customHeight="1">
      <c r="A35" s="1">
        <v>101859.0</v>
      </c>
      <c r="B35" s="1" t="s">
        <v>26</v>
      </c>
      <c r="C35" s="1" t="s">
        <v>192</v>
      </c>
      <c r="D35" s="1" t="s">
        <v>193</v>
      </c>
      <c r="E35" s="1" t="s">
        <v>194</v>
      </c>
      <c r="F35" s="1" t="s">
        <v>56</v>
      </c>
      <c r="G35" s="1" t="s">
        <v>88</v>
      </c>
      <c r="H35" s="1" t="b">
        <v>1</v>
      </c>
      <c r="J35" s="1" t="s">
        <v>58</v>
      </c>
      <c r="K35" s="1" t="s">
        <v>58</v>
      </c>
      <c r="L35" s="1" t="s">
        <v>58</v>
      </c>
      <c r="M35" s="5" t="str">
        <f t="array" ref="M35">XLOOKUP(C35&amp;D35, 'Yellow Jacket Fundraising 25-26'!$A$2:$A$112 &amp; 'Yellow Jacket Fundraising 25-26'!$B$2:$B$112, 'Yellow Jacket Fundraising 25-26'!$G$2:$G$112, "Not Found")</f>
        <v>Not Found</v>
      </c>
      <c r="N35" s="1" t="s">
        <v>58</v>
      </c>
      <c r="O35" s="6" t="str">
        <f>vlookup(B35,'SF Roster'!A:G,7,false)</f>
        <v>#N/A</v>
      </c>
    </row>
    <row r="36" ht="15.75" customHeight="1">
      <c r="A36" s="1">
        <v>2044792.0</v>
      </c>
      <c r="B36" s="1" t="s">
        <v>26</v>
      </c>
      <c r="C36" s="1" t="s">
        <v>69</v>
      </c>
      <c r="D36" s="1" t="s">
        <v>195</v>
      </c>
      <c r="E36" s="1" t="s">
        <v>196</v>
      </c>
      <c r="F36" s="1" t="s">
        <v>19</v>
      </c>
      <c r="H36" s="1" t="b">
        <v>0</v>
      </c>
      <c r="J36" s="1" t="s">
        <v>58</v>
      </c>
      <c r="K36" s="1" t="s">
        <v>58</v>
      </c>
      <c r="L36" s="1" t="s">
        <v>58</v>
      </c>
      <c r="M36" s="5" t="str">
        <f t="array" ref="M36">XLOOKUP(C36&amp;D36, 'Yellow Jacket Fundraising 25-26'!$A$2:$A$112 &amp; 'Yellow Jacket Fundraising 25-26'!$B$2:$B$112, 'Yellow Jacket Fundraising 25-26'!$G$2:$G$112, "Not Found")</f>
        <v>Not Found</v>
      </c>
      <c r="N36" s="1" t="s">
        <v>58</v>
      </c>
      <c r="O36" s="6" t="str">
        <f>vlookup(B36,'SF Roster'!A:G,7,false)</f>
        <v>#N/A</v>
      </c>
    </row>
    <row r="37" ht="15.75" customHeight="1">
      <c r="A37" s="1">
        <v>2044793.0</v>
      </c>
      <c r="B37" s="1" t="s">
        <v>26</v>
      </c>
      <c r="C37" s="1" t="s">
        <v>197</v>
      </c>
      <c r="D37" s="1" t="s">
        <v>198</v>
      </c>
      <c r="E37" s="1" t="s">
        <v>199</v>
      </c>
      <c r="F37" s="1" t="s">
        <v>19</v>
      </c>
      <c r="H37" s="1" t="b">
        <v>0</v>
      </c>
      <c r="J37" s="1" t="s">
        <v>58</v>
      </c>
      <c r="K37" s="1" t="s">
        <v>58</v>
      </c>
      <c r="L37" s="1" t="s">
        <v>58</v>
      </c>
      <c r="M37" s="5" t="str">
        <f t="array" ref="M37">XLOOKUP(C37&amp;D37, 'Yellow Jacket Fundraising 25-26'!$A$2:$A$112 &amp; 'Yellow Jacket Fundraising 25-26'!$B$2:$B$112, 'Yellow Jacket Fundraising 25-26'!$G$2:$G$112, "Not Found")</f>
        <v>Not Found</v>
      </c>
      <c r="N37" s="1" t="s">
        <v>58</v>
      </c>
      <c r="O37" s="6" t="str">
        <f>vlookup(B37,'SF Roster'!A:G,7,false)</f>
        <v>#N/A</v>
      </c>
    </row>
    <row r="38" ht="15.75" customHeight="1">
      <c r="A38" s="1">
        <v>2041857.0</v>
      </c>
      <c r="B38" s="1" t="s">
        <v>26</v>
      </c>
      <c r="C38" s="1" t="s">
        <v>200</v>
      </c>
      <c r="D38" s="1" t="s">
        <v>201</v>
      </c>
      <c r="E38" s="1" t="s">
        <v>202</v>
      </c>
      <c r="F38" s="1" t="s">
        <v>56</v>
      </c>
      <c r="G38" s="1" t="s">
        <v>88</v>
      </c>
      <c r="H38" s="1" t="b">
        <v>1</v>
      </c>
      <c r="J38" s="1" t="s">
        <v>58</v>
      </c>
      <c r="K38" s="1" t="s">
        <v>58</v>
      </c>
      <c r="L38" s="1" t="s">
        <v>58</v>
      </c>
      <c r="M38" s="5" t="str">
        <f t="array" ref="M38">XLOOKUP(C38&amp;D38, 'Yellow Jacket Fundraising 25-26'!$A$2:$A$112 &amp; 'Yellow Jacket Fundraising 25-26'!$B$2:$B$112, 'Yellow Jacket Fundraising 25-26'!$G$2:$G$112, "Not Found")</f>
        <v>Not Found</v>
      </c>
      <c r="N38" s="1" t="s">
        <v>58</v>
      </c>
      <c r="O38" s="6" t="str">
        <f>vlookup(B38,'SF Roster'!A:G,7,false)</f>
        <v>#N/A</v>
      </c>
    </row>
    <row r="39" ht="15.75" customHeight="1">
      <c r="A39" s="1">
        <v>2041823.0</v>
      </c>
      <c r="B39" s="1" t="s">
        <v>26</v>
      </c>
      <c r="C39" s="1" t="s">
        <v>203</v>
      </c>
      <c r="D39" s="1" t="s">
        <v>204</v>
      </c>
      <c r="E39" s="1" t="s">
        <v>205</v>
      </c>
      <c r="F39" s="1" t="s">
        <v>56</v>
      </c>
      <c r="G39" s="1" t="s">
        <v>88</v>
      </c>
      <c r="H39" s="1" t="b">
        <v>1</v>
      </c>
      <c r="J39" s="1" t="s">
        <v>58</v>
      </c>
      <c r="K39" s="1" t="s">
        <v>58</v>
      </c>
      <c r="L39" s="1" t="s">
        <v>58</v>
      </c>
      <c r="M39" s="5" t="str">
        <f t="array" ref="M39">XLOOKUP(C39&amp;D39, 'Yellow Jacket Fundraising 25-26'!$A$2:$A$112 &amp; 'Yellow Jacket Fundraising 25-26'!$B$2:$B$112, 'Yellow Jacket Fundraising 25-26'!$G$2:$G$112, "Not Found")</f>
        <v>Not Found</v>
      </c>
      <c r="N39" s="1" t="s">
        <v>58</v>
      </c>
      <c r="O39" s="6" t="str">
        <f>vlookup(B39,'SF Roster'!A:G,7,false)</f>
        <v>#N/A</v>
      </c>
    </row>
    <row r="40" ht="15.75" customHeight="1">
      <c r="A40" s="1">
        <v>2095089.0</v>
      </c>
      <c r="B40" s="1" t="s">
        <v>206</v>
      </c>
      <c r="C40" s="1" t="s">
        <v>207</v>
      </c>
      <c r="D40" s="1" t="s">
        <v>208</v>
      </c>
      <c r="E40" s="1" t="s">
        <v>209</v>
      </c>
      <c r="F40" s="1" t="s">
        <v>19</v>
      </c>
      <c r="G40" s="1" t="s">
        <v>20</v>
      </c>
      <c r="H40" s="1" t="b">
        <v>1</v>
      </c>
      <c r="I40" s="1" t="s">
        <v>99</v>
      </c>
      <c r="J40" s="1" t="s">
        <v>210</v>
      </c>
      <c r="K40" s="1" t="s">
        <v>211</v>
      </c>
      <c r="L40" s="1" t="s">
        <v>212</v>
      </c>
      <c r="M40" s="5">
        <f t="array" ref="M40">XLOOKUP(C40&amp;D40, 'Yellow Jacket Fundraising 25-26'!$A$2:$A$112 &amp; 'Yellow Jacket Fundraising 25-26'!$B$2:$B$112, 'Yellow Jacket Fundraising 25-26'!$G$2:$G$112, "Not Found")</f>
        <v>11002</v>
      </c>
      <c r="N40" s="1" t="s">
        <v>213</v>
      </c>
      <c r="O40" s="6" t="str">
        <f>vlookup(B40,'SF Roster'!A:G,7,false)</f>
        <v>Committee Member</v>
      </c>
    </row>
    <row r="41" ht="15.75" customHeight="1">
      <c r="A41" s="1">
        <v>2041820.0</v>
      </c>
      <c r="B41" s="1" t="s">
        <v>214</v>
      </c>
      <c r="C41" s="1" t="s">
        <v>65</v>
      </c>
      <c r="D41" s="1" t="s">
        <v>215</v>
      </c>
      <c r="E41" s="1" t="s">
        <v>216</v>
      </c>
      <c r="F41" s="1" t="s">
        <v>19</v>
      </c>
      <c r="G41" s="1" t="s">
        <v>20</v>
      </c>
      <c r="H41" s="1" t="b">
        <v>1</v>
      </c>
      <c r="I41" s="1" t="s">
        <v>217</v>
      </c>
      <c r="J41" s="1" t="s">
        <v>218</v>
      </c>
      <c r="K41" s="1" t="s">
        <v>219</v>
      </c>
      <c r="L41" s="1" t="s">
        <v>220</v>
      </c>
      <c r="M41" s="5">
        <f t="array" ref="M41">XLOOKUP(C41&amp;D41, 'Yellow Jacket Fundraising 25-26'!$A$2:$A$112 &amp; 'Yellow Jacket Fundraising 25-26'!$B$2:$B$112, 'Yellow Jacket Fundraising 25-26'!$G$2:$G$112, "Not Found")</f>
        <v>10733</v>
      </c>
      <c r="N41" s="1" t="s">
        <v>25</v>
      </c>
      <c r="O41" s="6" t="str">
        <f>vlookup(B41,'SF Roster'!A:G,7,false)</f>
        <v>Committee Member</v>
      </c>
    </row>
    <row r="42" ht="15.75" customHeight="1">
      <c r="A42" s="1">
        <v>2044794.0</v>
      </c>
      <c r="B42" s="1" t="s">
        <v>221</v>
      </c>
      <c r="C42" s="1" t="s">
        <v>222</v>
      </c>
      <c r="D42" s="1" t="s">
        <v>215</v>
      </c>
      <c r="E42" s="1" t="s">
        <v>223</v>
      </c>
      <c r="F42" s="1" t="s">
        <v>19</v>
      </c>
      <c r="G42" s="1" t="s">
        <v>20</v>
      </c>
      <c r="H42" s="1" t="b">
        <v>1</v>
      </c>
      <c r="I42" s="1" t="s">
        <v>110</v>
      </c>
      <c r="J42" s="1" t="s">
        <v>224</v>
      </c>
      <c r="K42" s="1" t="s">
        <v>225</v>
      </c>
      <c r="L42" s="1" t="s">
        <v>226</v>
      </c>
      <c r="M42" s="5">
        <f t="array" ref="M42">XLOOKUP(C42&amp;D42, 'Yellow Jacket Fundraising 25-26'!$A$2:$A$112 &amp; 'Yellow Jacket Fundraising 25-26'!$B$2:$B$112, 'Yellow Jacket Fundraising 25-26'!$G$2:$G$112, "Not Found")</f>
        <v>7711</v>
      </c>
      <c r="N42" s="1" t="s">
        <v>114</v>
      </c>
      <c r="O42" s="6" t="str">
        <f>vlookup(B42,'SF Roster'!A:G,7,false)</f>
        <v>Committee Member</v>
      </c>
    </row>
    <row r="43" ht="15.75" customHeight="1">
      <c r="A43" s="1">
        <v>2041840.0</v>
      </c>
      <c r="B43" s="1" t="s">
        <v>227</v>
      </c>
      <c r="C43" s="1" t="s">
        <v>77</v>
      </c>
      <c r="D43" s="1" t="s">
        <v>228</v>
      </c>
      <c r="E43" s="1" t="s">
        <v>229</v>
      </c>
      <c r="F43" s="1" t="s">
        <v>19</v>
      </c>
      <c r="G43" s="1" t="s">
        <v>20</v>
      </c>
      <c r="H43" s="1" t="b">
        <v>1</v>
      </c>
      <c r="I43" s="1" t="s">
        <v>122</v>
      </c>
      <c r="J43" s="1" t="s">
        <v>230</v>
      </c>
      <c r="K43" s="1" t="s">
        <v>231</v>
      </c>
      <c r="L43" s="1" t="s">
        <v>232</v>
      </c>
      <c r="M43" s="5">
        <f t="array" ref="M43">XLOOKUP(C43&amp;D43, 'Yellow Jacket Fundraising 25-26'!$A$2:$A$112 &amp; 'Yellow Jacket Fundraising 25-26'!$B$2:$B$112, 'Yellow Jacket Fundraising 25-26'!$G$2:$G$112, "Not Found")</f>
        <v>20642</v>
      </c>
      <c r="N43" s="1" t="s">
        <v>233</v>
      </c>
      <c r="O43" s="6" t="str">
        <f>vlookup(B43,'SF Roster'!A:G,7,false)</f>
        <v>Committee Member</v>
      </c>
    </row>
    <row r="44" ht="15.75" customHeight="1">
      <c r="A44" s="1">
        <v>2041826.0</v>
      </c>
      <c r="B44" s="1" t="s">
        <v>234</v>
      </c>
      <c r="C44" s="1" t="s">
        <v>235</v>
      </c>
      <c r="D44" s="1" t="s">
        <v>236</v>
      </c>
      <c r="E44" s="1" t="s">
        <v>237</v>
      </c>
      <c r="F44" s="1" t="s">
        <v>19</v>
      </c>
      <c r="G44" s="1" t="s">
        <v>20</v>
      </c>
      <c r="H44" s="1" t="b">
        <v>1</v>
      </c>
      <c r="I44" s="1" t="s">
        <v>31</v>
      </c>
      <c r="J44" s="1" t="s">
        <v>238</v>
      </c>
      <c r="K44" s="1" t="s">
        <v>239</v>
      </c>
      <c r="L44" s="1" t="s">
        <v>240</v>
      </c>
      <c r="M44" s="5">
        <f t="array" ref="M44">XLOOKUP(C44&amp;D44, 'Yellow Jacket Fundraising 25-26'!$A$2:$A$112 &amp; 'Yellow Jacket Fundraising 25-26'!$B$2:$B$112, 'Yellow Jacket Fundraising 25-26'!$G$2:$G$112, "Not Found")</f>
        <v>38690</v>
      </c>
      <c r="N44" s="1" t="s">
        <v>44</v>
      </c>
      <c r="O44" s="6" t="str">
        <f>vlookup(B44,'SF Roster'!A:G,7,false)</f>
        <v>Committee Member</v>
      </c>
    </row>
    <row r="45" ht="15.75" customHeight="1">
      <c r="A45" s="1">
        <v>2041839.0</v>
      </c>
      <c r="B45" s="1" t="s">
        <v>26</v>
      </c>
      <c r="C45" s="1" t="s">
        <v>241</v>
      </c>
      <c r="D45" s="1" t="s">
        <v>242</v>
      </c>
      <c r="E45" s="1" t="s">
        <v>243</v>
      </c>
      <c r="F45" s="1" t="s">
        <v>19</v>
      </c>
      <c r="H45" s="1" t="b">
        <v>0</v>
      </c>
      <c r="J45" s="1" t="s">
        <v>58</v>
      </c>
      <c r="K45" s="1" t="s">
        <v>58</v>
      </c>
      <c r="L45" s="1" t="s">
        <v>58</v>
      </c>
      <c r="M45" s="5" t="str">
        <f t="array" ref="M45">XLOOKUP(C45&amp;D45, 'Yellow Jacket Fundraising 25-26'!$A$2:$A$112 &amp; 'Yellow Jacket Fundraising 25-26'!$B$2:$B$112, 'Yellow Jacket Fundraising 25-26'!$G$2:$G$112, "Not Found")</f>
        <v>Not Found</v>
      </c>
      <c r="N45" s="1" t="s">
        <v>58</v>
      </c>
      <c r="O45" s="6" t="str">
        <f>vlookup(B45,'SF Roster'!A:G,7,false)</f>
        <v>#N/A</v>
      </c>
    </row>
    <row r="46" ht="15.75" customHeight="1">
      <c r="A46" s="1">
        <v>2044795.0</v>
      </c>
      <c r="B46" s="1" t="s">
        <v>26</v>
      </c>
      <c r="C46" s="1" t="s">
        <v>244</v>
      </c>
      <c r="D46" s="1" t="s">
        <v>245</v>
      </c>
      <c r="E46" s="1" t="s">
        <v>246</v>
      </c>
      <c r="F46" s="1" t="s">
        <v>19</v>
      </c>
      <c r="H46" s="1" t="b">
        <v>0</v>
      </c>
      <c r="J46" s="1" t="s">
        <v>58</v>
      </c>
      <c r="K46" s="1" t="s">
        <v>58</v>
      </c>
      <c r="L46" s="1" t="s">
        <v>58</v>
      </c>
      <c r="M46" s="5" t="str">
        <f t="array" ref="M46">XLOOKUP(C46&amp;D46, 'Yellow Jacket Fundraising 25-26'!$A$2:$A$112 &amp; 'Yellow Jacket Fundraising 25-26'!$B$2:$B$112, 'Yellow Jacket Fundraising 25-26'!$G$2:$G$112, "Not Found")</f>
        <v>Not Found</v>
      </c>
      <c r="N46" s="1" t="s">
        <v>58</v>
      </c>
      <c r="O46" s="6" t="str">
        <f>vlookup(B46,'SF Roster'!A:G,7,false)</f>
        <v>#N/A</v>
      </c>
    </row>
    <row r="47" ht="15.75" customHeight="1">
      <c r="A47" s="1">
        <v>2138161.0</v>
      </c>
      <c r="B47" s="1" t="s">
        <v>26</v>
      </c>
      <c r="C47" s="1" t="s">
        <v>247</v>
      </c>
      <c r="D47" s="1" t="s">
        <v>248</v>
      </c>
      <c r="E47" s="1" t="s">
        <v>249</v>
      </c>
      <c r="F47" s="1" t="s">
        <v>19</v>
      </c>
      <c r="G47" s="1" t="s">
        <v>30</v>
      </c>
      <c r="H47" s="1" t="b">
        <v>1</v>
      </c>
      <c r="I47" s="1" t="s">
        <v>21</v>
      </c>
      <c r="J47" s="1" t="s">
        <v>250</v>
      </c>
      <c r="K47" s="1" t="s">
        <v>251</v>
      </c>
      <c r="L47" s="1" t="s">
        <v>252</v>
      </c>
      <c r="M47" s="5" t="str">
        <f t="array" ref="M47">XLOOKUP(C47&amp;D47, 'Yellow Jacket Fundraising 25-26'!$A$2:$A$112 &amp; 'Yellow Jacket Fundraising 25-26'!$B$2:$B$112, 'Yellow Jacket Fundraising 25-26'!$G$2:$G$112, "Not Found")</f>
        <v>Future</v>
      </c>
      <c r="N47" s="1" t="s">
        <v>35</v>
      </c>
      <c r="O47" s="6" t="str">
        <f>vlookup(B47,'SF Roster'!A:G,7,false)</f>
        <v>#N/A</v>
      </c>
    </row>
    <row r="48" ht="15.75" customHeight="1">
      <c r="A48" s="1">
        <v>2062814.0</v>
      </c>
      <c r="B48" s="1" t="s">
        <v>253</v>
      </c>
      <c r="C48" s="1" t="s">
        <v>254</v>
      </c>
      <c r="D48" s="1" t="s">
        <v>255</v>
      </c>
      <c r="E48" s="1" t="s">
        <v>256</v>
      </c>
      <c r="F48" s="1" t="s">
        <v>19</v>
      </c>
      <c r="G48" s="1" t="s">
        <v>20</v>
      </c>
      <c r="H48" s="1" t="b">
        <v>1</v>
      </c>
      <c r="I48" s="1" t="s">
        <v>257</v>
      </c>
      <c r="J48" s="1" t="s">
        <v>258</v>
      </c>
      <c r="K48" s="1" t="s">
        <v>259</v>
      </c>
      <c r="L48" s="1" t="s">
        <v>260</v>
      </c>
      <c r="M48" s="5">
        <f t="array" ref="M48">XLOOKUP(C48&amp;D48, 'Yellow Jacket Fundraising 25-26'!$A$2:$A$112 &amp; 'Yellow Jacket Fundraising 25-26'!$B$2:$B$112, 'Yellow Jacket Fundraising 25-26'!$G$2:$G$112, "Not Found")</f>
        <v>800</v>
      </c>
      <c r="N48" s="1" t="s">
        <v>182</v>
      </c>
      <c r="O48" s="6" t="str">
        <f>vlookup(B48,'SF Roster'!A:G,7,false)</f>
        <v>Committee Member</v>
      </c>
    </row>
    <row r="49" ht="15.75" customHeight="1">
      <c r="A49" s="1">
        <v>2041806.0</v>
      </c>
      <c r="B49" s="1" t="s">
        <v>26</v>
      </c>
      <c r="C49" s="1" t="s">
        <v>261</v>
      </c>
      <c r="D49" s="1" t="s">
        <v>262</v>
      </c>
      <c r="E49" s="1" t="s">
        <v>263</v>
      </c>
      <c r="F49" s="1" t="s">
        <v>80</v>
      </c>
      <c r="G49" s="1" t="s">
        <v>81</v>
      </c>
      <c r="H49" s="1" t="b">
        <v>1</v>
      </c>
      <c r="J49" s="1" t="s">
        <v>58</v>
      </c>
      <c r="K49" s="1" t="s">
        <v>58</v>
      </c>
      <c r="L49" s="1" t="s">
        <v>58</v>
      </c>
      <c r="M49" s="5" t="str">
        <f t="array" ref="M49">XLOOKUP(C49&amp;D49, 'Yellow Jacket Fundraising 25-26'!$A$2:$A$112 &amp; 'Yellow Jacket Fundraising 25-26'!$B$2:$B$112, 'Yellow Jacket Fundraising 25-26'!$G$2:$G$112, "Not Found")</f>
        <v>Not Found</v>
      </c>
      <c r="N49" s="1" t="s">
        <v>58</v>
      </c>
      <c r="O49" s="6" t="str">
        <f>vlookup(B49,'SF Roster'!A:G,7,false)</f>
        <v>#N/A</v>
      </c>
    </row>
    <row r="50" ht="15.75" customHeight="1">
      <c r="A50" s="1">
        <v>2095090.0</v>
      </c>
      <c r="B50" s="1" t="s">
        <v>264</v>
      </c>
      <c r="C50" s="1" t="s">
        <v>265</v>
      </c>
      <c r="D50" s="1" t="s">
        <v>266</v>
      </c>
      <c r="E50" s="1" t="s">
        <v>267</v>
      </c>
      <c r="F50" s="1" t="s">
        <v>19</v>
      </c>
      <c r="G50" s="1" t="s">
        <v>20</v>
      </c>
      <c r="H50" s="1" t="b">
        <v>1</v>
      </c>
      <c r="I50" s="1" t="s">
        <v>21</v>
      </c>
      <c r="J50" s="1" t="s">
        <v>268</v>
      </c>
      <c r="K50" s="1" t="s">
        <v>269</v>
      </c>
      <c r="L50" s="1" t="s">
        <v>270</v>
      </c>
      <c r="M50" s="5">
        <f t="array" ref="M50">XLOOKUP(C50&amp;D50, 'Yellow Jacket Fundraising 25-26'!$A$2:$A$112 &amp; 'Yellow Jacket Fundraising 25-26'!$B$2:$B$112, 'Yellow Jacket Fundraising 25-26'!$G$2:$G$112, "Not Found")</f>
        <v>18397</v>
      </c>
      <c r="N50" s="1" t="s">
        <v>213</v>
      </c>
      <c r="O50" s="6" t="str">
        <f>vlookup(B50,'SF Roster'!A:G,7,false)</f>
        <v>Committee Member</v>
      </c>
    </row>
    <row r="51" ht="15.75" customHeight="1">
      <c r="A51" s="1">
        <v>2045323.0</v>
      </c>
      <c r="B51" s="1" t="s">
        <v>271</v>
      </c>
      <c r="C51" s="1" t="s">
        <v>272</v>
      </c>
      <c r="D51" s="1" t="s">
        <v>273</v>
      </c>
      <c r="E51" s="1" t="s">
        <v>274</v>
      </c>
      <c r="F51" s="1" t="s">
        <v>19</v>
      </c>
      <c r="G51" s="1" t="s">
        <v>20</v>
      </c>
      <c r="H51" s="1" t="b">
        <v>1</v>
      </c>
      <c r="I51" s="1" t="s">
        <v>72</v>
      </c>
      <c r="J51" s="1" t="s">
        <v>275</v>
      </c>
      <c r="K51" s="1" t="s">
        <v>276</v>
      </c>
      <c r="L51" s="1" t="s">
        <v>277</v>
      </c>
      <c r="M51" s="5">
        <f t="array" ref="M51">XLOOKUP(C51&amp;D51, 'Yellow Jacket Fundraising 25-26'!$A$2:$A$112 &amp; 'Yellow Jacket Fundraising 25-26'!$B$2:$B$112, 'Yellow Jacket Fundraising 25-26'!$G$2:$G$112, "Not Found")</f>
        <v>90000</v>
      </c>
      <c r="N51" s="1" t="s">
        <v>114</v>
      </c>
      <c r="O51" s="6" t="str">
        <f>vlookup(B51,'SF Roster'!A:G,7,false)</f>
        <v>Committee Member</v>
      </c>
    </row>
    <row r="52" ht="15.75" customHeight="1">
      <c r="A52" s="1">
        <v>105002.0</v>
      </c>
      <c r="B52" s="1" t="s">
        <v>26</v>
      </c>
      <c r="C52" s="1" t="s">
        <v>278</v>
      </c>
      <c r="D52" s="1" t="s">
        <v>279</v>
      </c>
      <c r="E52" s="1" t="s">
        <v>280</v>
      </c>
      <c r="F52" s="1" t="s">
        <v>19</v>
      </c>
      <c r="H52" s="1" t="b">
        <v>0</v>
      </c>
      <c r="J52" s="1" t="s">
        <v>58</v>
      </c>
      <c r="K52" s="1" t="s">
        <v>58</v>
      </c>
      <c r="L52" s="1" t="s">
        <v>58</v>
      </c>
      <c r="M52" s="5" t="str">
        <f t="array" ref="M52">XLOOKUP(C52&amp;D52, 'Yellow Jacket Fundraising 25-26'!$A$2:$A$112 &amp; 'Yellow Jacket Fundraising 25-26'!$B$2:$B$112, 'Yellow Jacket Fundraising 25-26'!$G$2:$G$112, "Not Found")</f>
        <v>Not Found</v>
      </c>
      <c r="N52" s="1" t="s">
        <v>58</v>
      </c>
      <c r="O52" s="6" t="str">
        <f>vlookup(B52,'SF Roster'!A:G,7,false)</f>
        <v>#N/A</v>
      </c>
    </row>
    <row r="53" ht="15.75" customHeight="1">
      <c r="A53" s="1">
        <v>2065267.0</v>
      </c>
      <c r="B53" s="1" t="s">
        <v>26</v>
      </c>
      <c r="C53" s="1" t="s">
        <v>281</v>
      </c>
      <c r="D53" s="1" t="s">
        <v>282</v>
      </c>
      <c r="E53" s="1" t="s">
        <v>283</v>
      </c>
      <c r="F53" s="1" t="s">
        <v>56</v>
      </c>
      <c r="G53" s="1" t="s">
        <v>88</v>
      </c>
      <c r="H53" s="1" t="b">
        <v>1</v>
      </c>
      <c r="J53" s="1" t="s">
        <v>58</v>
      </c>
      <c r="K53" s="1" t="s">
        <v>58</v>
      </c>
      <c r="L53" s="1" t="s">
        <v>58</v>
      </c>
      <c r="M53" s="5" t="str">
        <f t="array" ref="M53">XLOOKUP(C53&amp;D53, 'Yellow Jacket Fundraising 25-26'!$A$2:$A$112 &amp; 'Yellow Jacket Fundraising 25-26'!$B$2:$B$112, 'Yellow Jacket Fundraising 25-26'!$G$2:$G$112, "Not Found")</f>
        <v>Not Found</v>
      </c>
      <c r="N53" s="1" t="s">
        <v>58</v>
      </c>
      <c r="O53" s="6" t="str">
        <f>vlookup(B53,'SF Roster'!A:G,7,false)</f>
        <v>#N/A</v>
      </c>
    </row>
    <row r="54" ht="15.75" customHeight="1">
      <c r="A54" s="1">
        <v>2095181.0</v>
      </c>
      <c r="B54" s="1" t="s">
        <v>26</v>
      </c>
      <c r="C54" s="1" t="s">
        <v>284</v>
      </c>
      <c r="D54" s="1" t="s">
        <v>285</v>
      </c>
      <c r="E54" s="1" t="s">
        <v>286</v>
      </c>
      <c r="F54" s="1" t="s">
        <v>56</v>
      </c>
      <c r="G54" s="1" t="s">
        <v>88</v>
      </c>
      <c r="H54" s="1" t="b">
        <v>1</v>
      </c>
      <c r="J54" s="1" t="s">
        <v>58</v>
      </c>
      <c r="K54" s="1" t="s">
        <v>58</v>
      </c>
      <c r="L54" s="1" t="s">
        <v>58</v>
      </c>
      <c r="M54" s="5" t="str">
        <f t="array" ref="M54">XLOOKUP(C54&amp;D54, 'Yellow Jacket Fundraising 25-26'!$A$2:$A$112 &amp; 'Yellow Jacket Fundraising 25-26'!$B$2:$B$112, 'Yellow Jacket Fundraising 25-26'!$G$2:$G$112, "Not Found")</f>
        <v>Not Found</v>
      </c>
      <c r="N54" s="1" t="s">
        <v>58</v>
      </c>
      <c r="O54" s="6" t="str">
        <f>vlookup(B54,'SF Roster'!A:G,7,false)</f>
        <v>#N/A</v>
      </c>
    </row>
    <row r="55" ht="15.75" customHeight="1">
      <c r="A55" s="1">
        <v>2095190.0</v>
      </c>
      <c r="B55" s="1" t="s">
        <v>26</v>
      </c>
      <c r="C55" s="1" t="s">
        <v>287</v>
      </c>
      <c r="D55" s="1" t="s">
        <v>288</v>
      </c>
      <c r="E55" s="1" t="s">
        <v>289</v>
      </c>
      <c r="F55" s="1" t="s">
        <v>80</v>
      </c>
      <c r="G55" s="1" t="s">
        <v>81</v>
      </c>
      <c r="H55" s="1" t="b">
        <v>1</v>
      </c>
      <c r="J55" s="1" t="s">
        <v>58</v>
      </c>
      <c r="K55" s="1" t="s">
        <v>58</v>
      </c>
      <c r="L55" s="1" t="s">
        <v>58</v>
      </c>
      <c r="M55" s="5" t="str">
        <f t="array" ref="M55">XLOOKUP(C55&amp;D55, 'Yellow Jacket Fundraising 25-26'!$A$2:$A$112 &amp; 'Yellow Jacket Fundraising 25-26'!$B$2:$B$112, 'Yellow Jacket Fundraising 25-26'!$G$2:$G$112, "Not Found")</f>
        <v>Not Found</v>
      </c>
      <c r="N55" s="1" t="s">
        <v>58</v>
      </c>
      <c r="O55" s="6" t="str">
        <f>vlookup(B55,'SF Roster'!A:G,7,false)</f>
        <v>#N/A</v>
      </c>
    </row>
    <row r="56" ht="15.75" customHeight="1">
      <c r="A56" s="1">
        <v>2062815.0</v>
      </c>
      <c r="B56" s="1" t="s">
        <v>290</v>
      </c>
      <c r="C56" s="1" t="s">
        <v>291</v>
      </c>
      <c r="D56" s="1" t="s">
        <v>292</v>
      </c>
      <c r="E56" s="1" t="s">
        <v>293</v>
      </c>
      <c r="F56" s="1" t="s">
        <v>19</v>
      </c>
      <c r="G56" s="1" t="s">
        <v>20</v>
      </c>
      <c r="H56" s="1" t="b">
        <v>1</v>
      </c>
      <c r="I56" s="1" t="s">
        <v>31</v>
      </c>
      <c r="J56" s="1" t="s">
        <v>294</v>
      </c>
      <c r="K56" s="1" t="s">
        <v>295</v>
      </c>
      <c r="L56" s="1" t="s">
        <v>296</v>
      </c>
      <c r="M56" s="5" t="str">
        <f t="array" ref="M56">XLOOKUP(C56&amp;D56, 'Yellow Jacket Fundraising 25-26'!$A$2:$A$112 &amp; 'Yellow Jacket Fundraising 25-26'!$B$2:$B$112, 'Yellow Jacket Fundraising 25-26'!$G$2:$G$112, "Not Found")</f>
        <v>$ -</v>
      </c>
      <c r="N56" s="1" t="s">
        <v>182</v>
      </c>
      <c r="O56" s="6" t="str">
        <f>vlookup(B56,'SF Roster'!A:G,7,false)</f>
        <v>Committee Member</v>
      </c>
    </row>
    <row r="57" ht="15.75" customHeight="1">
      <c r="A57" s="1">
        <v>2095198.0</v>
      </c>
      <c r="B57" s="1" t="s">
        <v>26</v>
      </c>
      <c r="C57" s="1" t="s">
        <v>297</v>
      </c>
      <c r="D57" s="1" t="s">
        <v>298</v>
      </c>
      <c r="E57" s="1" t="s">
        <v>299</v>
      </c>
      <c r="F57" s="1" t="s">
        <v>80</v>
      </c>
      <c r="G57" s="1" t="s">
        <v>81</v>
      </c>
      <c r="H57" s="1" t="b">
        <v>1</v>
      </c>
      <c r="J57" s="1" t="s">
        <v>58</v>
      </c>
      <c r="K57" s="1" t="s">
        <v>58</v>
      </c>
      <c r="L57" s="1" t="s">
        <v>58</v>
      </c>
      <c r="M57" s="5" t="str">
        <f t="array" ref="M57">XLOOKUP(C57&amp;D57, 'Yellow Jacket Fundraising 25-26'!$A$2:$A$112 &amp; 'Yellow Jacket Fundraising 25-26'!$B$2:$B$112, 'Yellow Jacket Fundraising 25-26'!$G$2:$G$112, "Not Found")</f>
        <v>Not Found</v>
      </c>
      <c r="N57" s="1" t="s">
        <v>58</v>
      </c>
      <c r="O57" s="6" t="str">
        <f>vlookup(B57,'SF Roster'!A:G,7,false)</f>
        <v>#N/A</v>
      </c>
    </row>
    <row r="58" ht="15.75" customHeight="1">
      <c r="A58" s="1">
        <v>2138134.0</v>
      </c>
      <c r="B58" s="1" t="s">
        <v>26</v>
      </c>
      <c r="C58" s="1" t="s">
        <v>65</v>
      </c>
      <c r="D58" s="1" t="s">
        <v>300</v>
      </c>
      <c r="E58" s="1" t="s">
        <v>301</v>
      </c>
      <c r="F58" s="1" t="s">
        <v>19</v>
      </c>
      <c r="G58" s="1" t="s">
        <v>30</v>
      </c>
      <c r="H58" s="1" t="b">
        <v>1</v>
      </c>
      <c r="I58" s="1" t="s">
        <v>217</v>
      </c>
      <c r="J58" s="1" t="s">
        <v>302</v>
      </c>
      <c r="K58" s="1" t="s">
        <v>303</v>
      </c>
      <c r="L58" s="1" t="s">
        <v>304</v>
      </c>
      <c r="M58" s="5" t="str">
        <f t="array" ref="M58">XLOOKUP(C58&amp;D58, 'Yellow Jacket Fundraising 25-26'!$A$2:$A$112 &amp; 'Yellow Jacket Fundraising 25-26'!$B$2:$B$112, 'Yellow Jacket Fundraising 25-26'!$G$2:$G$112, "Not Found")</f>
        <v>Future</v>
      </c>
      <c r="N58" s="1" t="s">
        <v>35</v>
      </c>
      <c r="O58" s="6" t="str">
        <f>vlookup(B58,'SF Roster'!A:G,7,false)</f>
        <v>#N/A</v>
      </c>
    </row>
    <row r="59" ht="15.75" customHeight="1">
      <c r="A59" s="1">
        <v>2095196.0</v>
      </c>
      <c r="B59" s="1" t="s">
        <v>26</v>
      </c>
      <c r="C59" s="1" t="s">
        <v>82</v>
      </c>
      <c r="D59" s="1" t="s">
        <v>305</v>
      </c>
      <c r="E59" s="1" t="s">
        <v>306</v>
      </c>
      <c r="F59" s="1" t="s">
        <v>80</v>
      </c>
      <c r="G59" s="1" t="s">
        <v>81</v>
      </c>
      <c r="H59" s="1" t="b">
        <v>1</v>
      </c>
      <c r="J59" s="1" t="s">
        <v>58</v>
      </c>
      <c r="K59" s="1" t="s">
        <v>58</v>
      </c>
      <c r="L59" s="1" t="s">
        <v>58</v>
      </c>
      <c r="M59" s="5" t="str">
        <f t="array" ref="M59">XLOOKUP(C59&amp;D59, 'Yellow Jacket Fundraising 25-26'!$A$2:$A$112 &amp; 'Yellow Jacket Fundraising 25-26'!$B$2:$B$112, 'Yellow Jacket Fundraising 25-26'!$G$2:$G$112, "Not Found")</f>
        <v>Not Found</v>
      </c>
      <c r="N59" s="1" t="s">
        <v>58</v>
      </c>
      <c r="O59" s="6" t="str">
        <f>vlookup(B59,'SF Roster'!A:G,7,false)</f>
        <v>#N/A</v>
      </c>
    </row>
    <row r="60" ht="15.75" customHeight="1">
      <c r="A60" s="1">
        <v>2041807.0</v>
      </c>
      <c r="B60" s="1" t="s">
        <v>307</v>
      </c>
      <c r="C60" s="1" t="s">
        <v>308</v>
      </c>
      <c r="D60" s="1" t="s">
        <v>309</v>
      </c>
      <c r="E60" s="1" t="s">
        <v>310</v>
      </c>
      <c r="F60" s="1" t="s">
        <v>19</v>
      </c>
      <c r="G60" s="1" t="s">
        <v>20</v>
      </c>
      <c r="H60" s="1" t="b">
        <v>1</v>
      </c>
      <c r="I60" s="1" t="s">
        <v>110</v>
      </c>
      <c r="J60" s="1" t="s">
        <v>311</v>
      </c>
      <c r="K60" s="1" t="s">
        <v>312</v>
      </c>
      <c r="L60" s="1" t="s">
        <v>313</v>
      </c>
      <c r="M60" s="5">
        <f t="array" ref="M60">XLOOKUP(C60&amp;D60, 'Yellow Jacket Fundraising 25-26'!$A$2:$A$112 &amp; 'Yellow Jacket Fundraising 25-26'!$B$2:$B$112, 'Yellow Jacket Fundraising 25-26'!$G$2:$G$112, "Not Found")</f>
        <v>22999</v>
      </c>
      <c r="N60" s="1" t="s">
        <v>103</v>
      </c>
      <c r="O60" s="6" t="str">
        <f>vlookup(B60,'SF Roster'!A:G,7,false)</f>
        <v>Committee Member</v>
      </c>
    </row>
    <row r="61" ht="15.75" customHeight="1">
      <c r="A61" s="1">
        <v>2095187.0</v>
      </c>
      <c r="B61" s="1" t="s">
        <v>26</v>
      </c>
      <c r="C61" s="1" t="s">
        <v>314</v>
      </c>
      <c r="D61" s="1" t="s">
        <v>315</v>
      </c>
      <c r="E61" s="1" t="s">
        <v>316</v>
      </c>
      <c r="F61" s="1" t="s">
        <v>80</v>
      </c>
      <c r="G61" s="1" t="s">
        <v>81</v>
      </c>
      <c r="H61" s="1" t="b">
        <v>1</v>
      </c>
      <c r="J61" s="1" t="s">
        <v>58</v>
      </c>
      <c r="K61" s="1" t="s">
        <v>58</v>
      </c>
      <c r="L61" s="1" t="s">
        <v>58</v>
      </c>
      <c r="M61" s="5" t="str">
        <f t="array" ref="M61">XLOOKUP(C61&amp;D61, 'Yellow Jacket Fundraising 25-26'!$A$2:$A$112 &amp; 'Yellow Jacket Fundraising 25-26'!$B$2:$B$112, 'Yellow Jacket Fundraising 25-26'!$G$2:$G$112, "Not Found")</f>
        <v>Not Found</v>
      </c>
      <c r="N61" s="1" t="s">
        <v>58</v>
      </c>
      <c r="O61" s="6" t="str">
        <f>vlookup(B61,'SF Roster'!A:G,7,false)</f>
        <v>#N/A</v>
      </c>
    </row>
    <row r="62" ht="15.75" customHeight="1">
      <c r="A62" s="1">
        <v>2041798.0</v>
      </c>
      <c r="B62" s="1" t="s">
        <v>317</v>
      </c>
      <c r="C62" s="1" t="s">
        <v>318</v>
      </c>
      <c r="D62" s="1" t="s">
        <v>319</v>
      </c>
      <c r="E62" s="1" t="s">
        <v>320</v>
      </c>
      <c r="F62" s="1" t="s">
        <v>19</v>
      </c>
      <c r="G62" s="1" t="s">
        <v>20</v>
      </c>
      <c r="H62" s="1" t="b">
        <v>1</v>
      </c>
      <c r="I62" s="1" t="s">
        <v>49</v>
      </c>
      <c r="J62" s="1" t="s">
        <v>321</v>
      </c>
      <c r="K62" s="1" t="s">
        <v>322</v>
      </c>
      <c r="L62" s="1" t="s">
        <v>323</v>
      </c>
      <c r="M62" s="5">
        <f t="array" ref="M62">XLOOKUP(C62&amp;D62, 'Yellow Jacket Fundraising 25-26'!$A$2:$A$112 &amp; 'Yellow Jacket Fundraising 25-26'!$B$2:$B$112, 'Yellow Jacket Fundraising 25-26'!$G$2:$G$112, "Not Found")</f>
        <v>96550</v>
      </c>
      <c r="N62" s="1" t="s">
        <v>324</v>
      </c>
      <c r="O62" s="6" t="str">
        <f>vlookup(B62,'SF Roster'!A:G,7,false)</f>
        <v>Committee Member</v>
      </c>
    </row>
    <row r="63" ht="15.75" customHeight="1">
      <c r="A63" s="1">
        <v>2022970.0</v>
      </c>
      <c r="B63" s="1" t="s">
        <v>325</v>
      </c>
      <c r="C63" s="1" t="s">
        <v>326</v>
      </c>
      <c r="D63" s="1" t="s">
        <v>327</v>
      </c>
      <c r="E63" s="1" t="s">
        <v>328</v>
      </c>
      <c r="F63" s="1" t="s">
        <v>19</v>
      </c>
      <c r="G63" s="1" t="s">
        <v>20</v>
      </c>
      <c r="H63" s="1" t="b">
        <v>1</v>
      </c>
      <c r="I63" s="1" t="s">
        <v>329</v>
      </c>
      <c r="J63" s="1" t="s">
        <v>330</v>
      </c>
      <c r="K63" s="1" t="s">
        <v>331</v>
      </c>
      <c r="L63" s="1" t="s">
        <v>332</v>
      </c>
      <c r="M63" s="5">
        <f t="array" ref="M63">XLOOKUP(C63&amp;D63, 'Yellow Jacket Fundraising 25-26'!$A$2:$A$112 &amp; 'Yellow Jacket Fundraising 25-26'!$B$2:$B$112, 'Yellow Jacket Fundraising 25-26'!$G$2:$G$112, "Not Found")</f>
        <v>10270</v>
      </c>
      <c r="N63" s="1" t="s">
        <v>182</v>
      </c>
      <c r="O63" s="6" t="str">
        <f>vlookup(B63,'SF Roster'!A:G,7,false)</f>
        <v>Committee Member</v>
      </c>
    </row>
    <row r="64" ht="15.75" customHeight="1">
      <c r="A64" s="1">
        <v>2095197.0</v>
      </c>
      <c r="B64" s="1" t="s">
        <v>26</v>
      </c>
      <c r="C64" s="1" t="s">
        <v>333</v>
      </c>
      <c r="D64" s="1" t="s">
        <v>334</v>
      </c>
      <c r="E64" s="1" t="s">
        <v>335</v>
      </c>
      <c r="F64" s="1" t="s">
        <v>80</v>
      </c>
      <c r="G64" s="1" t="s">
        <v>81</v>
      </c>
      <c r="H64" s="1" t="b">
        <v>1</v>
      </c>
      <c r="J64" s="1" t="s">
        <v>58</v>
      </c>
      <c r="K64" s="1" t="s">
        <v>58</v>
      </c>
      <c r="L64" s="1" t="s">
        <v>58</v>
      </c>
      <c r="M64" s="5" t="str">
        <f t="array" ref="M64">XLOOKUP(C64&amp;D64, 'Yellow Jacket Fundraising 25-26'!$A$2:$A$112 &amp; 'Yellow Jacket Fundraising 25-26'!$B$2:$B$112, 'Yellow Jacket Fundraising 25-26'!$G$2:$G$112, "Not Found")</f>
        <v>Not Found</v>
      </c>
      <c r="N64" s="1" t="s">
        <v>58</v>
      </c>
      <c r="O64" s="6" t="str">
        <f>vlookup(B64,'SF Roster'!A:G,7,false)</f>
        <v>#N/A</v>
      </c>
    </row>
    <row r="65" ht="15.75" customHeight="1">
      <c r="A65" s="1">
        <v>2044796.0</v>
      </c>
      <c r="B65" s="1" t="s">
        <v>26</v>
      </c>
      <c r="C65" s="1" t="s">
        <v>336</v>
      </c>
      <c r="D65" s="1" t="s">
        <v>337</v>
      </c>
      <c r="E65" s="1" t="s">
        <v>338</v>
      </c>
      <c r="F65" s="1" t="s">
        <v>19</v>
      </c>
      <c r="H65" s="1" t="b">
        <v>0</v>
      </c>
      <c r="J65" s="1" t="s">
        <v>58</v>
      </c>
      <c r="K65" s="1" t="s">
        <v>58</v>
      </c>
      <c r="L65" s="1" t="s">
        <v>58</v>
      </c>
      <c r="M65" s="5" t="str">
        <f t="array" ref="M65">XLOOKUP(C65&amp;D65, 'Yellow Jacket Fundraising 25-26'!$A$2:$A$112 &amp; 'Yellow Jacket Fundraising 25-26'!$B$2:$B$112, 'Yellow Jacket Fundraising 25-26'!$G$2:$G$112, "Not Found")</f>
        <v>Not Found</v>
      </c>
      <c r="N65" s="1" t="s">
        <v>58</v>
      </c>
      <c r="O65" s="6" t="str">
        <f>vlookup(B65,'SF Roster'!A:G,7,false)</f>
        <v>#N/A</v>
      </c>
    </row>
    <row r="66" ht="15.75" customHeight="1">
      <c r="A66" s="1">
        <v>2095175.0</v>
      </c>
      <c r="B66" s="1" t="s">
        <v>26</v>
      </c>
      <c r="C66" s="1" t="s">
        <v>339</v>
      </c>
      <c r="D66" s="1" t="s">
        <v>340</v>
      </c>
      <c r="E66" s="1" t="s">
        <v>341</v>
      </c>
      <c r="F66" s="1" t="s">
        <v>19</v>
      </c>
      <c r="H66" s="1" t="b">
        <v>0</v>
      </c>
      <c r="J66" s="1" t="s">
        <v>58</v>
      </c>
      <c r="K66" s="1" t="s">
        <v>58</v>
      </c>
      <c r="L66" s="1" t="s">
        <v>58</v>
      </c>
      <c r="M66" s="5" t="str">
        <f t="array" ref="M66">XLOOKUP(C66&amp;D66, 'Yellow Jacket Fundraising 25-26'!$A$2:$A$112 &amp; 'Yellow Jacket Fundraising 25-26'!$B$2:$B$112, 'Yellow Jacket Fundraising 25-26'!$G$2:$G$112, "Not Found")</f>
        <v>Not Found</v>
      </c>
      <c r="N66" s="1" t="s">
        <v>58</v>
      </c>
      <c r="O66" s="6" t="str">
        <f>vlookup(B66,'SF Roster'!A:G,7,false)</f>
        <v>#N/A</v>
      </c>
    </row>
    <row r="67" ht="15.75" customHeight="1">
      <c r="A67" s="1">
        <v>2041776.0</v>
      </c>
      <c r="B67" s="1" t="s">
        <v>342</v>
      </c>
      <c r="C67" s="1" t="s">
        <v>176</v>
      </c>
      <c r="D67" s="1" t="s">
        <v>343</v>
      </c>
      <c r="E67" s="1" t="s">
        <v>344</v>
      </c>
      <c r="F67" s="1" t="s">
        <v>19</v>
      </c>
      <c r="G67" s="1" t="s">
        <v>20</v>
      </c>
      <c r="H67" s="1" t="b">
        <v>1</v>
      </c>
      <c r="I67" s="1" t="s">
        <v>49</v>
      </c>
      <c r="J67" s="1" t="s">
        <v>345</v>
      </c>
      <c r="K67" s="1" t="s">
        <v>346</v>
      </c>
      <c r="L67" s="1" t="s">
        <v>347</v>
      </c>
      <c r="M67" s="5">
        <f t="array" ref="M67">XLOOKUP(C67&amp;D67, 'Yellow Jacket Fundraising 25-26'!$A$2:$A$112 &amp; 'Yellow Jacket Fundraising 25-26'!$B$2:$B$112, 'Yellow Jacket Fundraising 25-26'!$G$2:$G$112, "Not Found")</f>
        <v>9641</v>
      </c>
      <c r="N67" s="1" t="s">
        <v>25</v>
      </c>
      <c r="O67" s="6" t="str">
        <f>vlookup(B67,'SF Roster'!A:G,7,false)</f>
        <v>Committee Member</v>
      </c>
    </row>
    <row r="68" ht="15.75" customHeight="1">
      <c r="A68" s="1">
        <v>2095091.0</v>
      </c>
      <c r="B68" s="1" t="s">
        <v>348</v>
      </c>
      <c r="C68" s="1" t="s">
        <v>349</v>
      </c>
      <c r="D68" s="1" t="s">
        <v>350</v>
      </c>
      <c r="E68" s="1" t="s">
        <v>351</v>
      </c>
      <c r="F68" s="1" t="s">
        <v>19</v>
      </c>
      <c r="G68" s="1" t="s">
        <v>20</v>
      </c>
      <c r="H68" s="1" t="b">
        <v>1</v>
      </c>
      <c r="I68" s="1" t="s">
        <v>31</v>
      </c>
      <c r="J68" s="1" t="s">
        <v>352</v>
      </c>
      <c r="K68" s="1" t="s">
        <v>353</v>
      </c>
      <c r="L68" s="1" t="s">
        <v>354</v>
      </c>
      <c r="M68" s="5">
        <f t="array" ref="M68">XLOOKUP(C68&amp;D68, 'Yellow Jacket Fundraising 25-26'!$A$2:$A$112 &amp; 'Yellow Jacket Fundraising 25-26'!$B$2:$B$112, 'Yellow Jacket Fundraising 25-26'!$G$2:$G$112, "Not Found")</f>
        <v>9480</v>
      </c>
      <c r="N68" s="1" t="s">
        <v>213</v>
      </c>
      <c r="O68" s="6" t="str">
        <f>vlookup(B68,'SF Roster'!A:G,7,false)</f>
        <v>Committee Member</v>
      </c>
    </row>
    <row r="69" ht="15.75" customHeight="1">
      <c r="A69" s="1">
        <v>100597.0</v>
      </c>
      <c r="B69" s="1" t="s">
        <v>26</v>
      </c>
      <c r="C69" s="1" t="s">
        <v>308</v>
      </c>
      <c r="D69" s="1" t="s">
        <v>355</v>
      </c>
      <c r="E69" s="1" t="s">
        <v>356</v>
      </c>
      <c r="F69" s="1" t="s">
        <v>56</v>
      </c>
      <c r="G69" s="1" t="s">
        <v>88</v>
      </c>
      <c r="H69" s="1" t="b">
        <v>1</v>
      </c>
      <c r="J69" s="1" t="s">
        <v>58</v>
      </c>
      <c r="K69" s="1" t="s">
        <v>58</v>
      </c>
      <c r="L69" s="1" t="s">
        <v>58</v>
      </c>
      <c r="M69" s="5" t="str">
        <f t="array" ref="M69">XLOOKUP(C69&amp;D69, 'Yellow Jacket Fundraising 25-26'!$A$2:$A$112 &amp; 'Yellow Jacket Fundraising 25-26'!$B$2:$B$112, 'Yellow Jacket Fundraising 25-26'!$G$2:$G$112, "Not Found")</f>
        <v>Not Found</v>
      </c>
      <c r="N69" s="1" t="s">
        <v>58</v>
      </c>
      <c r="O69" s="6" t="str">
        <f>vlookup(B69,'SF Roster'!A:G,7,false)</f>
        <v>#N/A</v>
      </c>
    </row>
    <row r="70" ht="15.75" customHeight="1">
      <c r="A70" s="1">
        <v>97466.0</v>
      </c>
      <c r="B70" s="1" t="s">
        <v>26</v>
      </c>
      <c r="C70" s="1" t="s">
        <v>92</v>
      </c>
      <c r="D70" s="1" t="s">
        <v>357</v>
      </c>
      <c r="E70" s="1" t="s">
        <v>358</v>
      </c>
      <c r="F70" s="1" t="s">
        <v>19</v>
      </c>
      <c r="H70" s="1" t="b">
        <v>0</v>
      </c>
      <c r="J70" s="1" t="s">
        <v>58</v>
      </c>
      <c r="K70" s="1" t="s">
        <v>58</v>
      </c>
      <c r="L70" s="1" t="s">
        <v>58</v>
      </c>
      <c r="M70" s="5" t="str">
        <f t="array" ref="M70">XLOOKUP(C70&amp;D70, 'Yellow Jacket Fundraising 25-26'!$A$2:$A$112 &amp; 'Yellow Jacket Fundraising 25-26'!$B$2:$B$112, 'Yellow Jacket Fundraising 25-26'!$G$2:$G$112, "Not Found")</f>
        <v>Not Found</v>
      </c>
      <c r="N70" s="1" t="s">
        <v>58</v>
      </c>
      <c r="O70" s="6" t="str">
        <f>vlookup(B70,'SF Roster'!A:G,7,false)</f>
        <v>#N/A</v>
      </c>
    </row>
    <row r="71" ht="15.75" customHeight="1">
      <c r="A71" s="1">
        <v>2041841.0</v>
      </c>
      <c r="B71" s="1" t="s">
        <v>359</v>
      </c>
      <c r="C71" s="1" t="s">
        <v>77</v>
      </c>
      <c r="D71" s="1" t="s">
        <v>360</v>
      </c>
      <c r="E71" s="1" t="s">
        <v>361</v>
      </c>
      <c r="F71" s="1" t="s">
        <v>19</v>
      </c>
      <c r="G71" s="1" t="s">
        <v>20</v>
      </c>
      <c r="H71" s="1" t="b">
        <v>1</v>
      </c>
      <c r="I71" s="1" t="s">
        <v>136</v>
      </c>
      <c r="J71" s="1" t="s">
        <v>362</v>
      </c>
      <c r="K71" s="1" t="s">
        <v>363</v>
      </c>
      <c r="L71" s="1" t="s">
        <v>364</v>
      </c>
      <c r="M71" s="5">
        <f t="array" ref="M71">XLOOKUP(C71&amp;D71, 'Yellow Jacket Fundraising 25-26'!$A$2:$A$112 &amp; 'Yellow Jacket Fundraising 25-26'!$B$2:$B$112, 'Yellow Jacket Fundraising 25-26'!$G$2:$G$112, "Not Found")</f>
        <v>9633</v>
      </c>
      <c r="N71" s="1" t="s">
        <v>103</v>
      </c>
      <c r="O71" s="6" t="str">
        <f>vlookup(B71,'SF Roster'!A:G,7,false)</f>
        <v>Committee Member</v>
      </c>
    </row>
    <row r="72" ht="15.75" customHeight="1">
      <c r="A72" s="1">
        <v>2041808.0</v>
      </c>
      <c r="B72" s="1" t="s">
        <v>26</v>
      </c>
      <c r="C72" s="1" t="s">
        <v>365</v>
      </c>
      <c r="D72" s="1" t="s">
        <v>366</v>
      </c>
      <c r="E72" s="1" t="s">
        <v>367</v>
      </c>
      <c r="F72" s="1" t="s">
        <v>80</v>
      </c>
      <c r="G72" s="1" t="s">
        <v>81</v>
      </c>
      <c r="H72" s="1" t="b">
        <v>1</v>
      </c>
      <c r="J72" s="1" t="s">
        <v>58</v>
      </c>
      <c r="K72" s="1" t="s">
        <v>58</v>
      </c>
      <c r="L72" s="1" t="s">
        <v>58</v>
      </c>
      <c r="M72" s="5" t="str">
        <f t="array" ref="M72">XLOOKUP(C72&amp;D72, 'Yellow Jacket Fundraising 25-26'!$A$2:$A$112 &amp; 'Yellow Jacket Fundraising 25-26'!$B$2:$B$112, 'Yellow Jacket Fundraising 25-26'!$G$2:$G$112, "Not Found")</f>
        <v>Not Found</v>
      </c>
      <c r="N72" s="1" t="s">
        <v>58</v>
      </c>
      <c r="O72" s="6" t="str">
        <f>vlookup(B72,'SF Roster'!A:G,7,false)</f>
        <v>#N/A</v>
      </c>
    </row>
    <row r="73" ht="15.75" customHeight="1">
      <c r="A73" s="1">
        <v>100219.0</v>
      </c>
      <c r="B73" s="1" t="s">
        <v>26</v>
      </c>
      <c r="C73" s="1" t="s">
        <v>368</v>
      </c>
      <c r="D73" s="1" t="s">
        <v>369</v>
      </c>
      <c r="E73" s="1" t="s">
        <v>370</v>
      </c>
      <c r="F73" s="1" t="s">
        <v>19</v>
      </c>
      <c r="H73" s="1" t="b">
        <v>0</v>
      </c>
      <c r="J73" s="1" t="s">
        <v>58</v>
      </c>
      <c r="K73" s="1" t="s">
        <v>58</v>
      </c>
      <c r="L73" s="1" t="s">
        <v>58</v>
      </c>
      <c r="M73" s="5" t="str">
        <f t="array" ref="M73">XLOOKUP(C73&amp;D73, 'Yellow Jacket Fundraising 25-26'!$A$2:$A$112 &amp; 'Yellow Jacket Fundraising 25-26'!$B$2:$B$112, 'Yellow Jacket Fundraising 25-26'!$G$2:$G$112, "Not Found")</f>
        <v>Not Found</v>
      </c>
      <c r="N73" s="1" t="s">
        <v>58</v>
      </c>
      <c r="O73" s="6" t="str">
        <f>vlookup(B73,'SF Roster'!A:G,7,false)</f>
        <v>#N/A</v>
      </c>
    </row>
    <row r="74" ht="15.75" customHeight="1">
      <c r="A74" s="1">
        <v>2138135.0</v>
      </c>
      <c r="B74" s="1" t="s">
        <v>26</v>
      </c>
      <c r="C74" s="1" t="s">
        <v>371</v>
      </c>
      <c r="D74" s="1" t="s">
        <v>372</v>
      </c>
      <c r="E74" s="1" t="s">
        <v>373</v>
      </c>
      <c r="F74" s="1" t="s">
        <v>19</v>
      </c>
      <c r="G74" s="1" t="s">
        <v>30</v>
      </c>
      <c r="H74" s="1" t="b">
        <v>1</v>
      </c>
      <c r="I74" s="1" t="s">
        <v>49</v>
      </c>
      <c r="J74" s="1" t="s">
        <v>374</v>
      </c>
      <c r="K74" s="1" t="s">
        <v>375</v>
      </c>
      <c r="L74" s="1" t="s">
        <v>376</v>
      </c>
      <c r="M74" s="5" t="str">
        <f t="array" ref="M74">XLOOKUP(C74&amp;D74, 'Yellow Jacket Fundraising 25-26'!$A$2:$A$112 &amp; 'Yellow Jacket Fundraising 25-26'!$B$2:$B$112, 'Yellow Jacket Fundraising 25-26'!$G$2:$G$112, "Not Found")</f>
        <v>Future</v>
      </c>
      <c r="N74" s="1" t="s">
        <v>35</v>
      </c>
      <c r="O74" s="6" t="str">
        <f>vlookup(B74,'SF Roster'!A:G,7,false)</f>
        <v>#N/A</v>
      </c>
    </row>
    <row r="75" ht="15.75" customHeight="1">
      <c r="A75" s="1">
        <v>100556.0</v>
      </c>
      <c r="B75" s="1" t="s">
        <v>26</v>
      </c>
      <c r="C75" s="1" t="s">
        <v>377</v>
      </c>
      <c r="D75" s="1" t="s">
        <v>378</v>
      </c>
      <c r="E75" s="1" t="s">
        <v>379</v>
      </c>
      <c r="F75" s="1" t="s">
        <v>56</v>
      </c>
      <c r="G75" s="1" t="s">
        <v>88</v>
      </c>
      <c r="H75" s="1" t="b">
        <v>1</v>
      </c>
      <c r="J75" s="1" t="s">
        <v>58</v>
      </c>
      <c r="K75" s="1" t="s">
        <v>58</v>
      </c>
      <c r="L75" s="1" t="s">
        <v>58</v>
      </c>
      <c r="M75" s="5" t="str">
        <f t="array" ref="M75">XLOOKUP(C75&amp;D75, 'Yellow Jacket Fundraising 25-26'!$A$2:$A$112 &amp; 'Yellow Jacket Fundraising 25-26'!$B$2:$B$112, 'Yellow Jacket Fundraising 25-26'!$G$2:$G$112, "Not Found")</f>
        <v>Not Found</v>
      </c>
      <c r="N75" s="1" t="s">
        <v>58</v>
      </c>
      <c r="O75" s="6" t="str">
        <f>vlookup(B75,'SF Roster'!A:G,7,false)</f>
        <v>#N/A</v>
      </c>
    </row>
    <row r="76" ht="15.75" customHeight="1">
      <c r="A76" s="1">
        <v>2041829.0</v>
      </c>
      <c r="B76" s="1" t="s">
        <v>26</v>
      </c>
      <c r="C76" s="1" t="s">
        <v>92</v>
      </c>
      <c r="D76" s="1" t="s">
        <v>380</v>
      </c>
      <c r="E76" s="1" t="s">
        <v>381</v>
      </c>
      <c r="F76" s="1" t="s">
        <v>56</v>
      </c>
      <c r="G76" s="1" t="s">
        <v>88</v>
      </c>
      <c r="H76" s="1" t="b">
        <v>1</v>
      </c>
      <c r="J76" s="1" t="s">
        <v>58</v>
      </c>
      <c r="K76" s="1" t="s">
        <v>58</v>
      </c>
      <c r="L76" s="1" t="s">
        <v>58</v>
      </c>
      <c r="M76" s="5" t="str">
        <f t="array" ref="M76">XLOOKUP(C76&amp;D76, 'Yellow Jacket Fundraising 25-26'!$A$2:$A$112 &amp; 'Yellow Jacket Fundraising 25-26'!$B$2:$B$112, 'Yellow Jacket Fundraising 25-26'!$G$2:$G$112, "Not Found")</f>
        <v>Not Found</v>
      </c>
      <c r="N76" s="1" t="s">
        <v>58</v>
      </c>
      <c r="O76" s="6" t="str">
        <f>vlookup(B76,'SF Roster'!A:G,7,false)</f>
        <v>#N/A</v>
      </c>
    </row>
    <row r="77" ht="15.75" customHeight="1">
      <c r="A77" s="1">
        <v>2041777.0</v>
      </c>
      <c r="B77" s="1" t="s">
        <v>26</v>
      </c>
      <c r="C77" s="1" t="s">
        <v>382</v>
      </c>
      <c r="D77" s="1" t="s">
        <v>383</v>
      </c>
      <c r="E77" s="1" t="s">
        <v>384</v>
      </c>
      <c r="F77" s="1" t="s">
        <v>56</v>
      </c>
      <c r="G77" s="1" t="s">
        <v>88</v>
      </c>
      <c r="H77" s="1" t="b">
        <v>1</v>
      </c>
      <c r="J77" s="1" t="s">
        <v>58</v>
      </c>
      <c r="K77" s="1" t="s">
        <v>58</v>
      </c>
      <c r="L77" s="1" t="s">
        <v>58</v>
      </c>
      <c r="M77" s="5" t="str">
        <f t="array" ref="M77">XLOOKUP(C77&amp;D77, 'Yellow Jacket Fundraising 25-26'!$A$2:$A$112 &amp; 'Yellow Jacket Fundraising 25-26'!$B$2:$B$112, 'Yellow Jacket Fundraising 25-26'!$G$2:$G$112, "Not Found")</f>
        <v>Not Found</v>
      </c>
      <c r="N77" s="1" t="s">
        <v>58</v>
      </c>
      <c r="O77" s="6" t="str">
        <f>vlookup(B77,'SF Roster'!A:G,7,false)</f>
        <v>#N/A</v>
      </c>
    </row>
    <row r="78" ht="15.75" customHeight="1">
      <c r="A78" s="1">
        <v>2041809.0</v>
      </c>
      <c r="B78" s="1" t="s">
        <v>385</v>
      </c>
      <c r="C78" s="1" t="s">
        <v>386</v>
      </c>
      <c r="D78" s="1" t="s">
        <v>387</v>
      </c>
      <c r="E78" s="1" t="s">
        <v>388</v>
      </c>
      <c r="F78" s="1" t="s">
        <v>19</v>
      </c>
      <c r="G78" s="1" t="s">
        <v>20</v>
      </c>
      <c r="H78" s="1" t="b">
        <v>1</v>
      </c>
      <c r="I78" s="1" t="s">
        <v>72</v>
      </c>
      <c r="J78" s="1" t="s">
        <v>389</v>
      </c>
      <c r="K78" s="1" t="s">
        <v>390</v>
      </c>
      <c r="L78" s="1" t="s">
        <v>391</v>
      </c>
      <c r="M78" s="5">
        <f t="array" ref="M78">XLOOKUP(C78&amp;D78, 'Yellow Jacket Fundraising 25-26'!$A$2:$A$112 &amp; 'Yellow Jacket Fundraising 25-26'!$B$2:$B$112, 'Yellow Jacket Fundraising 25-26'!$G$2:$G$112, "Not Found")</f>
        <v>9215</v>
      </c>
      <c r="N78" s="7">
        <v>40483.0</v>
      </c>
      <c r="O78" s="6" t="str">
        <f>vlookup(B78,'SF Roster'!A:G,7,false)</f>
        <v>Committee Member</v>
      </c>
    </row>
    <row r="79" ht="15.75" customHeight="1">
      <c r="A79" s="1">
        <v>2041804.0</v>
      </c>
      <c r="B79" s="1" t="s">
        <v>392</v>
      </c>
      <c r="C79" s="1" t="s">
        <v>77</v>
      </c>
      <c r="D79" s="1" t="s">
        <v>393</v>
      </c>
      <c r="E79" s="1" t="s">
        <v>394</v>
      </c>
      <c r="F79" s="1" t="s">
        <v>19</v>
      </c>
      <c r="G79" s="1" t="s">
        <v>20</v>
      </c>
      <c r="H79" s="1" t="b">
        <v>1</v>
      </c>
      <c r="I79" s="1" t="s">
        <v>99</v>
      </c>
      <c r="J79" s="1" t="s">
        <v>395</v>
      </c>
      <c r="K79" s="1" t="s">
        <v>396</v>
      </c>
      <c r="L79" s="1" t="s">
        <v>397</v>
      </c>
      <c r="M79" s="5">
        <f t="array" ref="M79">XLOOKUP(C79&amp;D79, 'Yellow Jacket Fundraising 25-26'!$A$2:$A$112 &amp; 'Yellow Jacket Fundraising 25-26'!$B$2:$B$112, 'Yellow Jacket Fundraising 25-26'!$G$2:$G$112, "Not Found")</f>
        <v>19225</v>
      </c>
      <c r="N79" s="1" t="s">
        <v>152</v>
      </c>
      <c r="O79" s="6" t="str">
        <f>vlookup(B79,'SF Roster'!A:G,7,false)</f>
        <v>Committee Member</v>
      </c>
    </row>
    <row r="80" ht="15.75" customHeight="1">
      <c r="A80" s="1">
        <v>2062816.0</v>
      </c>
      <c r="B80" s="1" t="s">
        <v>398</v>
      </c>
      <c r="C80" s="1" t="s">
        <v>399</v>
      </c>
      <c r="D80" s="1" t="s">
        <v>393</v>
      </c>
      <c r="E80" s="1" t="s">
        <v>400</v>
      </c>
      <c r="F80" s="1" t="s">
        <v>19</v>
      </c>
      <c r="G80" s="1" t="s">
        <v>20</v>
      </c>
      <c r="H80" s="1" t="b">
        <v>1</v>
      </c>
      <c r="I80" s="1" t="s">
        <v>110</v>
      </c>
      <c r="J80" s="1" t="s">
        <v>401</v>
      </c>
      <c r="K80" s="1" t="s">
        <v>402</v>
      </c>
      <c r="L80" s="1" t="s">
        <v>403</v>
      </c>
      <c r="M80" s="5">
        <f t="array" ref="M80">XLOOKUP(C80&amp;D80, 'Yellow Jacket Fundraising 25-26'!$A$2:$A$112 &amp; 'Yellow Jacket Fundraising 25-26'!$B$2:$B$112, 'Yellow Jacket Fundraising 25-26'!$G$2:$G$112, "Not Found")</f>
        <v>2920</v>
      </c>
      <c r="N80" s="1" t="s">
        <v>182</v>
      </c>
      <c r="O80" s="6" t="str">
        <f>vlookup(B80,'SF Roster'!A:G,7,false)</f>
        <v>Committee Member</v>
      </c>
    </row>
    <row r="81" ht="15.75" customHeight="1">
      <c r="A81" s="1">
        <v>2095092.0</v>
      </c>
      <c r="B81" s="1" t="s">
        <v>404</v>
      </c>
      <c r="C81" s="1" t="s">
        <v>405</v>
      </c>
      <c r="D81" s="1" t="s">
        <v>406</v>
      </c>
      <c r="E81" s="1" t="s">
        <v>407</v>
      </c>
      <c r="F81" s="1" t="s">
        <v>19</v>
      </c>
      <c r="G81" s="1" t="s">
        <v>20</v>
      </c>
      <c r="H81" s="1" t="b">
        <v>1</v>
      </c>
      <c r="I81" s="1" t="s">
        <v>72</v>
      </c>
      <c r="J81" s="1" t="s">
        <v>408</v>
      </c>
      <c r="K81" s="1" t="s">
        <v>409</v>
      </c>
      <c r="L81" s="1" t="s">
        <v>410</v>
      </c>
      <c r="M81" s="5">
        <f t="array" ref="M81">XLOOKUP(C81&amp;D81, 'Yellow Jacket Fundraising 25-26'!$A$2:$A$112 &amp; 'Yellow Jacket Fundraising 25-26'!$B$2:$B$112, 'Yellow Jacket Fundraising 25-26'!$G$2:$G$112, "Not Found")</f>
        <v>36085</v>
      </c>
      <c r="N81" s="1" t="s">
        <v>213</v>
      </c>
      <c r="O81" s="6" t="str">
        <f>vlookup(B81,'SF Roster'!A:G,7,false)</f>
        <v>Committee Member</v>
      </c>
    </row>
    <row r="82" ht="15.75" customHeight="1">
      <c r="A82" s="1">
        <v>104426.0</v>
      </c>
      <c r="B82" s="1" t="s">
        <v>26</v>
      </c>
      <c r="C82" s="1" t="s">
        <v>186</v>
      </c>
      <c r="D82" s="1" t="s">
        <v>411</v>
      </c>
      <c r="E82" s="1" t="s">
        <v>412</v>
      </c>
      <c r="F82" s="1" t="s">
        <v>56</v>
      </c>
      <c r="G82" s="1" t="s">
        <v>88</v>
      </c>
      <c r="H82" s="1" t="b">
        <v>1</v>
      </c>
      <c r="J82" s="1" t="s">
        <v>58</v>
      </c>
      <c r="K82" s="1" t="s">
        <v>58</v>
      </c>
      <c r="L82" s="1" t="s">
        <v>58</v>
      </c>
      <c r="M82" s="5" t="str">
        <f t="array" ref="M82">XLOOKUP(C82&amp;D82, 'Yellow Jacket Fundraising 25-26'!$A$2:$A$112 &amp; 'Yellow Jacket Fundraising 25-26'!$B$2:$B$112, 'Yellow Jacket Fundraising 25-26'!$G$2:$G$112, "Not Found")</f>
        <v>Not Found</v>
      </c>
      <c r="N82" s="1" t="s">
        <v>58</v>
      </c>
      <c r="O82" s="6" t="str">
        <f>vlookup(B82,'SF Roster'!A:G,7,false)</f>
        <v>#N/A</v>
      </c>
    </row>
    <row r="83" ht="15.75" customHeight="1">
      <c r="A83" s="1">
        <v>87537.0</v>
      </c>
      <c r="B83" s="1" t="s">
        <v>413</v>
      </c>
      <c r="C83" s="1" t="s">
        <v>318</v>
      </c>
      <c r="D83" s="1" t="s">
        <v>414</v>
      </c>
      <c r="E83" s="1" t="s">
        <v>415</v>
      </c>
      <c r="F83" s="1" t="s">
        <v>19</v>
      </c>
      <c r="G83" s="1" t="s">
        <v>20</v>
      </c>
      <c r="H83" s="1" t="b">
        <v>1</v>
      </c>
      <c r="I83" s="1" t="s">
        <v>217</v>
      </c>
      <c r="J83" s="1" t="s">
        <v>416</v>
      </c>
      <c r="K83" s="1" t="s">
        <v>417</v>
      </c>
      <c r="L83" s="1" t="s">
        <v>418</v>
      </c>
      <c r="M83" s="5">
        <f t="array" ref="M83">XLOOKUP(C83&amp;D83, 'Yellow Jacket Fundraising 25-26'!$A$2:$A$112 &amp; 'Yellow Jacket Fundraising 25-26'!$B$2:$B$112, 'Yellow Jacket Fundraising 25-26'!$G$2:$G$112, "Not Found")</f>
        <v>17566</v>
      </c>
      <c r="N83" s="1" t="s">
        <v>152</v>
      </c>
      <c r="O83" s="6" t="str">
        <f>vlookup(B83,'SF Roster'!A:G,7,false)</f>
        <v>Committee Member</v>
      </c>
    </row>
    <row r="84" ht="15.75" customHeight="1">
      <c r="A84" s="1">
        <v>2045566.0</v>
      </c>
      <c r="B84" s="1" t="s">
        <v>26</v>
      </c>
      <c r="C84" s="1" t="s">
        <v>85</v>
      </c>
      <c r="D84" s="1" t="s">
        <v>419</v>
      </c>
      <c r="E84" s="1" t="s">
        <v>420</v>
      </c>
      <c r="F84" s="1" t="s">
        <v>56</v>
      </c>
      <c r="G84" s="1" t="s">
        <v>88</v>
      </c>
      <c r="H84" s="1" t="b">
        <v>1</v>
      </c>
      <c r="J84" s="1" t="s">
        <v>58</v>
      </c>
      <c r="K84" s="1" t="s">
        <v>58</v>
      </c>
      <c r="L84" s="1" t="s">
        <v>58</v>
      </c>
      <c r="M84" s="5" t="str">
        <f t="array" ref="M84">XLOOKUP(C84&amp;D84, 'Yellow Jacket Fundraising 25-26'!$A$2:$A$112 &amp; 'Yellow Jacket Fundraising 25-26'!$B$2:$B$112, 'Yellow Jacket Fundraising 25-26'!$G$2:$G$112, "Not Found")</f>
        <v>Not Found</v>
      </c>
      <c r="N84" s="1" t="s">
        <v>58</v>
      </c>
      <c r="O84" s="6" t="str">
        <f>vlookup(B84,'SF Roster'!A:G,7,false)</f>
        <v>#N/A</v>
      </c>
    </row>
    <row r="85" ht="15.75" customHeight="1">
      <c r="A85" s="1">
        <v>2095212.0</v>
      </c>
      <c r="B85" s="1" t="s">
        <v>26</v>
      </c>
      <c r="C85" s="1" t="s">
        <v>16</v>
      </c>
      <c r="D85" s="1" t="s">
        <v>421</v>
      </c>
      <c r="E85" s="1" t="s">
        <v>422</v>
      </c>
      <c r="F85" s="1" t="s">
        <v>56</v>
      </c>
      <c r="G85" s="1" t="s">
        <v>88</v>
      </c>
      <c r="H85" s="1" t="b">
        <v>1</v>
      </c>
      <c r="J85" s="1" t="s">
        <v>58</v>
      </c>
      <c r="K85" s="1" t="s">
        <v>58</v>
      </c>
      <c r="L85" s="1" t="s">
        <v>58</v>
      </c>
      <c r="M85" s="5" t="str">
        <f t="array" ref="M85">XLOOKUP(C85&amp;D85, 'Yellow Jacket Fundraising 25-26'!$A$2:$A$112 &amp; 'Yellow Jacket Fundraising 25-26'!$B$2:$B$112, 'Yellow Jacket Fundraising 25-26'!$G$2:$G$112, "Not Found")</f>
        <v>Not Found</v>
      </c>
      <c r="N85" s="1" t="s">
        <v>58</v>
      </c>
      <c r="O85" s="6" t="str">
        <f>vlookup(B85,'SF Roster'!A:G,7,false)</f>
        <v>#N/A</v>
      </c>
    </row>
    <row r="86" ht="15.75" customHeight="1">
      <c r="A86" s="1">
        <v>2044797.0</v>
      </c>
      <c r="B86" s="1" t="s">
        <v>423</v>
      </c>
      <c r="C86" s="1" t="s">
        <v>424</v>
      </c>
      <c r="D86" s="1" t="s">
        <v>425</v>
      </c>
      <c r="E86" s="1" t="s">
        <v>426</v>
      </c>
      <c r="F86" s="1" t="s">
        <v>19</v>
      </c>
      <c r="G86" s="1" t="s">
        <v>20</v>
      </c>
      <c r="H86" s="1" t="b">
        <v>1</v>
      </c>
      <c r="I86" s="1" t="s">
        <v>122</v>
      </c>
      <c r="J86" s="1" t="s">
        <v>427</v>
      </c>
      <c r="K86" s="1" t="s">
        <v>428</v>
      </c>
      <c r="L86" s="1" t="s">
        <v>429</v>
      </c>
      <c r="M86" s="5">
        <f t="array" ref="M86">XLOOKUP(C86&amp;D86, 'Yellow Jacket Fundraising 25-26'!$A$2:$A$112 &amp; 'Yellow Jacket Fundraising 25-26'!$B$2:$B$112, 'Yellow Jacket Fundraising 25-26'!$G$2:$G$112, "Not Found")</f>
        <v>35519</v>
      </c>
      <c r="N86" s="1" t="s">
        <v>114</v>
      </c>
      <c r="O86" s="6" t="str">
        <f>vlookup(B86,'SF Roster'!A:G,7,false)</f>
        <v>Committee Member</v>
      </c>
    </row>
    <row r="87" ht="15.75" customHeight="1">
      <c r="A87" s="1">
        <v>2044798.0</v>
      </c>
      <c r="B87" s="1" t="s">
        <v>430</v>
      </c>
      <c r="C87" s="1" t="s">
        <v>431</v>
      </c>
      <c r="D87" s="1" t="s">
        <v>432</v>
      </c>
      <c r="E87" s="1" t="s">
        <v>433</v>
      </c>
      <c r="F87" s="1" t="s">
        <v>19</v>
      </c>
      <c r="G87" s="1" t="s">
        <v>20</v>
      </c>
      <c r="H87" s="1" t="b">
        <v>1</v>
      </c>
      <c r="I87" s="1" t="s">
        <v>31</v>
      </c>
      <c r="J87" s="1" t="s">
        <v>434</v>
      </c>
      <c r="K87" s="1" t="s">
        <v>435</v>
      </c>
      <c r="L87" s="1" t="s">
        <v>436</v>
      </c>
      <c r="M87" s="5">
        <f t="array" ref="M87">XLOOKUP(C87&amp;D87, 'Yellow Jacket Fundraising 25-26'!$A$2:$A$112 &amp; 'Yellow Jacket Fundraising 25-26'!$B$2:$B$112, 'Yellow Jacket Fundraising 25-26'!$G$2:$G$112, "Not Found")</f>
        <v>14040</v>
      </c>
      <c r="N87" s="1" t="s">
        <v>114</v>
      </c>
      <c r="O87" s="6" t="str">
        <f>vlookup(B87,'SF Roster'!A:G,7,false)</f>
        <v>Committee Member</v>
      </c>
    </row>
    <row r="88" ht="15.75" customHeight="1">
      <c r="A88" s="1">
        <v>2041796.0</v>
      </c>
      <c r="B88" s="1" t="s">
        <v>26</v>
      </c>
      <c r="C88" s="1" t="s">
        <v>235</v>
      </c>
      <c r="D88" s="1" t="s">
        <v>437</v>
      </c>
      <c r="E88" s="1" t="s">
        <v>438</v>
      </c>
      <c r="F88" s="1" t="s">
        <v>80</v>
      </c>
      <c r="G88" s="1" t="s">
        <v>81</v>
      </c>
      <c r="H88" s="1" t="b">
        <v>1</v>
      </c>
      <c r="J88" s="1" t="s">
        <v>58</v>
      </c>
      <c r="K88" s="1" t="s">
        <v>58</v>
      </c>
      <c r="L88" s="1" t="s">
        <v>58</v>
      </c>
      <c r="M88" s="5" t="str">
        <f t="array" ref="M88">XLOOKUP(C88&amp;D88, 'Yellow Jacket Fundraising 25-26'!$A$2:$A$112 &amp; 'Yellow Jacket Fundraising 25-26'!$B$2:$B$112, 'Yellow Jacket Fundraising 25-26'!$G$2:$G$112, "Not Found")</f>
        <v>Not Found</v>
      </c>
      <c r="N88" s="1" t="s">
        <v>58</v>
      </c>
      <c r="O88" s="6" t="str">
        <f>vlookup(B88,'SF Roster'!A:G,7,false)</f>
        <v>#N/A</v>
      </c>
    </row>
    <row r="89" ht="15.75" customHeight="1">
      <c r="A89" s="1">
        <v>2041810.0</v>
      </c>
      <c r="B89" s="1" t="s">
        <v>26</v>
      </c>
      <c r="C89" s="1" t="s">
        <v>439</v>
      </c>
      <c r="D89" s="1" t="s">
        <v>440</v>
      </c>
      <c r="E89" s="1" t="s">
        <v>441</v>
      </c>
      <c r="F89" s="1" t="s">
        <v>56</v>
      </c>
      <c r="G89" s="1" t="s">
        <v>57</v>
      </c>
      <c r="H89" s="1" t="b">
        <v>1</v>
      </c>
      <c r="J89" s="1" t="s">
        <v>58</v>
      </c>
      <c r="K89" s="1" t="s">
        <v>58</v>
      </c>
      <c r="L89" s="1" t="s">
        <v>58</v>
      </c>
      <c r="M89" s="5" t="str">
        <f t="array" ref="M89">XLOOKUP(C89&amp;D89, 'Yellow Jacket Fundraising 25-26'!$A$2:$A$112 &amp; 'Yellow Jacket Fundraising 25-26'!$B$2:$B$112, 'Yellow Jacket Fundraising 25-26'!$G$2:$G$112, "Not Found")</f>
        <v>Not Found</v>
      </c>
      <c r="N89" s="1" t="s">
        <v>58</v>
      </c>
      <c r="O89" s="6" t="str">
        <f>vlookup(B89,'SF Roster'!A:G,7,false)</f>
        <v>#N/A</v>
      </c>
    </row>
    <row r="90" ht="15.75" customHeight="1">
      <c r="A90" s="1">
        <v>103208.0</v>
      </c>
      <c r="B90" s="1" t="s">
        <v>26</v>
      </c>
      <c r="C90" s="1" t="s">
        <v>442</v>
      </c>
      <c r="D90" s="1" t="s">
        <v>443</v>
      </c>
      <c r="E90" s="1" t="s">
        <v>444</v>
      </c>
      <c r="F90" s="1" t="s">
        <v>19</v>
      </c>
      <c r="H90" s="1" t="b">
        <v>0</v>
      </c>
      <c r="J90" s="1" t="s">
        <v>58</v>
      </c>
      <c r="K90" s="1" t="s">
        <v>58</v>
      </c>
      <c r="L90" s="1" t="s">
        <v>58</v>
      </c>
      <c r="M90" s="5" t="str">
        <f t="array" ref="M90">XLOOKUP(C90&amp;D90, 'Yellow Jacket Fundraising 25-26'!$A$2:$A$112 &amp; 'Yellow Jacket Fundraising 25-26'!$B$2:$B$112, 'Yellow Jacket Fundraising 25-26'!$G$2:$G$112, "Not Found")</f>
        <v>Not Found</v>
      </c>
      <c r="N90" s="1" t="s">
        <v>58</v>
      </c>
      <c r="O90" s="6" t="str">
        <f>vlookup(B90,'SF Roster'!A:G,7,false)</f>
        <v>#N/A</v>
      </c>
    </row>
    <row r="91" ht="15.75" customHeight="1">
      <c r="A91" s="1">
        <v>2041778.0</v>
      </c>
      <c r="B91" s="1" t="s">
        <v>445</v>
      </c>
      <c r="C91" s="1" t="s">
        <v>446</v>
      </c>
      <c r="D91" s="1" t="s">
        <v>447</v>
      </c>
      <c r="E91" s="1" t="s">
        <v>448</v>
      </c>
      <c r="F91" s="1" t="s">
        <v>19</v>
      </c>
      <c r="G91" s="1" t="s">
        <v>20</v>
      </c>
      <c r="H91" s="1" t="b">
        <v>1</v>
      </c>
      <c r="I91" s="1" t="s">
        <v>329</v>
      </c>
      <c r="J91" s="1" t="s">
        <v>449</v>
      </c>
      <c r="K91" s="1" t="s">
        <v>450</v>
      </c>
      <c r="L91" s="1" t="s">
        <v>451</v>
      </c>
      <c r="M91" s="5">
        <f t="array" ref="M91">XLOOKUP(C91&amp;D91, 'Yellow Jacket Fundraising 25-26'!$A$2:$A$112 &amp; 'Yellow Jacket Fundraising 25-26'!$B$2:$B$112, 'Yellow Jacket Fundraising 25-26'!$G$2:$G$112, "Not Found")</f>
        <v>132413</v>
      </c>
      <c r="N91" s="1" t="s">
        <v>103</v>
      </c>
      <c r="O91" s="6" t="str">
        <f>vlookup(B91,'SF Roster'!A:G,7,false)</f>
        <v>Committee Member</v>
      </c>
    </row>
    <row r="92" ht="15.75" customHeight="1">
      <c r="A92" s="1">
        <v>2095176.0</v>
      </c>
      <c r="B92" s="1" t="s">
        <v>26</v>
      </c>
      <c r="C92" s="1" t="s">
        <v>452</v>
      </c>
      <c r="D92" s="1" t="s">
        <v>453</v>
      </c>
      <c r="E92" s="1" t="s">
        <v>454</v>
      </c>
      <c r="F92" s="1" t="s">
        <v>19</v>
      </c>
      <c r="H92" s="1" t="b">
        <v>0</v>
      </c>
      <c r="J92" s="1" t="s">
        <v>58</v>
      </c>
      <c r="K92" s="1" t="s">
        <v>58</v>
      </c>
      <c r="L92" s="1" t="s">
        <v>58</v>
      </c>
      <c r="M92" s="5" t="str">
        <f t="array" ref="M92">XLOOKUP(C92&amp;D92, 'Yellow Jacket Fundraising 25-26'!$A$2:$A$112 &amp; 'Yellow Jacket Fundraising 25-26'!$B$2:$B$112, 'Yellow Jacket Fundraising 25-26'!$G$2:$G$112, "Not Found")</f>
        <v>Not Found</v>
      </c>
      <c r="N92" s="1" t="s">
        <v>58</v>
      </c>
      <c r="O92" s="6" t="str">
        <f>vlookup(B92,'SF Roster'!A:G,7,false)</f>
        <v>#N/A</v>
      </c>
    </row>
    <row r="93" ht="15.75" customHeight="1">
      <c r="A93" s="1">
        <v>2041856.0</v>
      </c>
      <c r="B93" s="1" t="s">
        <v>26</v>
      </c>
      <c r="C93" s="1" t="s">
        <v>455</v>
      </c>
      <c r="D93" s="1" t="s">
        <v>456</v>
      </c>
      <c r="E93" s="1" t="s">
        <v>457</v>
      </c>
      <c r="F93" s="1" t="s">
        <v>19</v>
      </c>
      <c r="H93" s="1" t="b">
        <v>0</v>
      </c>
      <c r="J93" s="1" t="s">
        <v>58</v>
      </c>
      <c r="K93" s="1" t="s">
        <v>58</v>
      </c>
      <c r="L93" s="1" t="s">
        <v>58</v>
      </c>
      <c r="M93" s="5" t="str">
        <f t="array" ref="M93">XLOOKUP(C93&amp;D93, 'Yellow Jacket Fundraising 25-26'!$A$2:$A$112 &amp; 'Yellow Jacket Fundraising 25-26'!$B$2:$B$112, 'Yellow Jacket Fundraising 25-26'!$G$2:$G$112, "Not Found")</f>
        <v>Not Found</v>
      </c>
      <c r="N93" s="1" t="s">
        <v>58</v>
      </c>
      <c r="O93" s="6" t="str">
        <f>vlookup(B93,'SF Roster'!A:G,7,false)</f>
        <v>#N/A</v>
      </c>
    </row>
    <row r="94" ht="15.75" customHeight="1">
      <c r="A94" s="1">
        <v>2041850.0</v>
      </c>
      <c r="B94" s="1" t="s">
        <v>458</v>
      </c>
      <c r="C94" s="1" t="s">
        <v>172</v>
      </c>
      <c r="D94" s="1" t="s">
        <v>459</v>
      </c>
      <c r="E94" s="1" t="s">
        <v>460</v>
      </c>
      <c r="F94" s="1" t="s">
        <v>19</v>
      </c>
      <c r="G94" s="1" t="s">
        <v>20</v>
      </c>
      <c r="H94" s="1" t="b">
        <v>1</v>
      </c>
      <c r="I94" s="1" t="s">
        <v>99</v>
      </c>
      <c r="J94" s="1" t="s">
        <v>461</v>
      </c>
      <c r="K94" s="1" t="s">
        <v>462</v>
      </c>
      <c r="L94" s="1" t="s">
        <v>463</v>
      </c>
      <c r="M94" s="5">
        <f t="array" ref="M94">XLOOKUP(C94&amp;D94, 'Yellow Jacket Fundraising 25-26'!$A$2:$A$112 &amp; 'Yellow Jacket Fundraising 25-26'!$B$2:$B$112, 'Yellow Jacket Fundraising 25-26'!$G$2:$G$112, "Not Found")</f>
        <v>10063</v>
      </c>
      <c r="N94" s="7">
        <v>40878.0</v>
      </c>
      <c r="O94" s="6" t="str">
        <f>vlookup(B94,'SF Roster'!A:G,7,false)</f>
        <v>Committee Member</v>
      </c>
    </row>
    <row r="95" ht="15.75" customHeight="1">
      <c r="A95" s="1">
        <v>2041843.0</v>
      </c>
      <c r="B95" s="1" t="s">
        <v>26</v>
      </c>
      <c r="C95" s="1" t="s">
        <v>464</v>
      </c>
      <c r="D95" s="1" t="s">
        <v>465</v>
      </c>
      <c r="E95" s="1" t="s">
        <v>466</v>
      </c>
      <c r="F95" s="1" t="s">
        <v>80</v>
      </c>
      <c r="G95" s="1" t="s">
        <v>81</v>
      </c>
      <c r="H95" s="1" t="b">
        <v>1</v>
      </c>
      <c r="J95" s="1" t="s">
        <v>58</v>
      </c>
      <c r="K95" s="1" t="s">
        <v>58</v>
      </c>
      <c r="L95" s="1" t="s">
        <v>58</v>
      </c>
      <c r="M95" s="5" t="str">
        <f t="array" ref="M95">XLOOKUP(C95&amp;D95, 'Yellow Jacket Fundraising 25-26'!$A$2:$A$112 &amp; 'Yellow Jacket Fundraising 25-26'!$B$2:$B$112, 'Yellow Jacket Fundraising 25-26'!$G$2:$G$112, "Not Found")</f>
        <v>Not Found</v>
      </c>
      <c r="N95" s="1" t="s">
        <v>58</v>
      </c>
      <c r="O95" s="6" t="str">
        <f>vlookup(B95,'SF Roster'!A:G,7,false)</f>
        <v>#N/A</v>
      </c>
    </row>
    <row r="96" ht="15.75" customHeight="1">
      <c r="A96" s="1">
        <v>2044799.0</v>
      </c>
      <c r="B96" s="1" t="s">
        <v>467</v>
      </c>
      <c r="C96" s="1" t="s">
        <v>468</v>
      </c>
      <c r="D96" s="1" t="s">
        <v>469</v>
      </c>
      <c r="E96" s="1" t="s">
        <v>470</v>
      </c>
      <c r="F96" s="1" t="s">
        <v>19</v>
      </c>
      <c r="G96" s="1" t="s">
        <v>20</v>
      </c>
      <c r="H96" s="1" t="b">
        <v>1</v>
      </c>
      <c r="I96" s="1" t="s">
        <v>40</v>
      </c>
      <c r="J96" s="1" t="s">
        <v>471</v>
      </c>
      <c r="K96" s="1" t="s">
        <v>472</v>
      </c>
      <c r="L96" s="1" t="s">
        <v>473</v>
      </c>
      <c r="M96" s="5">
        <f t="array" ref="M96">XLOOKUP(C96&amp;D96, 'Yellow Jacket Fundraising 25-26'!$A$2:$A$112 &amp; 'Yellow Jacket Fundraising 25-26'!$B$2:$B$112, 'Yellow Jacket Fundraising 25-26'!$G$2:$G$112, "Not Found")</f>
        <v>9739</v>
      </c>
      <c r="N96" s="1" t="s">
        <v>114</v>
      </c>
      <c r="O96" s="6" t="str">
        <f>vlookup(B96,'SF Roster'!A:G,7,false)</f>
        <v>Committee Member</v>
      </c>
    </row>
    <row r="97" ht="15.75" customHeight="1">
      <c r="A97" s="1">
        <v>2044800.0</v>
      </c>
      <c r="B97" s="1" t="s">
        <v>26</v>
      </c>
      <c r="C97" s="1" t="s">
        <v>119</v>
      </c>
      <c r="D97" s="1" t="s">
        <v>474</v>
      </c>
      <c r="E97" s="1" t="s">
        <v>475</v>
      </c>
      <c r="F97" s="1" t="s">
        <v>19</v>
      </c>
      <c r="H97" s="1" t="b">
        <v>0</v>
      </c>
      <c r="J97" s="1" t="s">
        <v>58</v>
      </c>
      <c r="K97" s="1" t="s">
        <v>58</v>
      </c>
      <c r="L97" s="1" t="s">
        <v>58</v>
      </c>
      <c r="M97" s="5" t="str">
        <f t="array" ref="M97">XLOOKUP(C97&amp;D97, 'Yellow Jacket Fundraising 25-26'!$A$2:$A$112 &amp; 'Yellow Jacket Fundraising 25-26'!$B$2:$B$112, 'Yellow Jacket Fundraising 25-26'!$G$2:$G$112, "Not Found")</f>
        <v>Not Found</v>
      </c>
      <c r="N97" s="1" t="s">
        <v>58</v>
      </c>
      <c r="O97" s="6" t="str">
        <f>vlookup(B97,'SF Roster'!A:G,7,false)</f>
        <v>#N/A</v>
      </c>
    </row>
    <row r="98" ht="15.75" customHeight="1">
      <c r="A98" s="1">
        <v>2044801.0</v>
      </c>
      <c r="B98" s="1" t="s">
        <v>476</v>
      </c>
      <c r="C98" s="1" t="s">
        <v>477</v>
      </c>
      <c r="D98" s="1" t="s">
        <v>478</v>
      </c>
      <c r="E98" s="1" t="s">
        <v>479</v>
      </c>
      <c r="F98" s="1" t="s">
        <v>19</v>
      </c>
      <c r="G98" s="1" t="s">
        <v>20</v>
      </c>
      <c r="H98" s="1" t="b">
        <v>1</v>
      </c>
      <c r="I98" s="1" t="s">
        <v>329</v>
      </c>
      <c r="J98" s="1" t="s">
        <v>480</v>
      </c>
      <c r="K98" s="1" t="s">
        <v>481</v>
      </c>
      <c r="L98" s="1" t="s">
        <v>482</v>
      </c>
      <c r="M98" s="5">
        <f t="array" ref="M98">XLOOKUP(C98&amp;D98, 'Yellow Jacket Fundraising 25-26'!$A$2:$A$112 &amp; 'Yellow Jacket Fundraising 25-26'!$B$2:$B$112, 'Yellow Jacket Fundraising 25-26'!$G$2:$G$112, "Not Found")</f>
        <v>86889</v>
      </c>
      <c r="N98" s="1" t="s">
        <v>114</v>
      </c>
      <c r="O98" s="6" t="str">
        <f>vlookup(B98,'SF Roster'!A:G,7,false)</f>
        <v>Committee Member</v>
      </c>
    </row>
    <row r="99" ht="15.75" customHeight="1">
      <c r="A99" s="1">
        <v>2095093.0</v>
      </c>
      <c r="B99" s="1" t="s">
        <v>483</v>
      </c>
      <c r="C99" s="1" t="s">
        <v>326</v>
      </c>
      <c r="D99" s="1" t="s">
        <v>484</v>
      </c>
      <c r="E99" s="1" t="s">
        <v>485</v>
      </c>
      <c r="F99" s="1" t="s">
        <v>19</v>
      </c>
      <c r="G99" s="1" t="s">
        <v>20</v>
      </c>
      <c r="H99" s="1" t="b">
        <v>1</v>
      </c>
      <c r="I99" s="1" t="s">
        <v>136</v>
      </c>
      <c r="J99" s="1" t="s">
        <v>486</v>
      </c>
      <c r="K99" s="1" t="s">
        <v>487</v>
      </c>
      <c r="L99" s="1" t="s">
        <v>488</v>
      </c>
      <c r="M99" s="5">
        <f t="array" ref="M99">XLOOKUP(C99&amp;D99, 'Yellow Jacket Fundraising 25-26'!$A$2:$A$112 &amp; 'Yellow Jacket Fundraising 25-26'!$B$2:$B$112, 'Yellow Jacket Fundraising 25-26'!$G$2:$G$112, "Not Found")</f>
        <v>14775</v>
      </c>
      <c r="N99" s="1" t="s">
        <v>213</v>
      </c>
      <c r="O99" s="6" t="str">
        <f>vlookup(B99,'SF Roster'!A:G,7,false)</f>
        <v>Committee Member</v>
      </c>
    </row>
    <row r="100" ht="15.75" customHeight="1">
      <c r="A100" s="1">
        <v>2041824.0</v>
      </c>
      <c r="B100" s="1" t="s">
        <v>26</v>
      </c>
      <c r="C100" s="1" t="s">
        <v>489</v>
      </c>
      <c r="D100" s="1" t="s">
        <v>490</v>
      </c>
      <c r="E100" s="1" t="s">
        <v>491</v>
      </c>
      <c r="F100" s="1" t="s">
        <v>56</v>
      </c>
      <c r="G100" s="1" t="s">
        <v>88</v>
      </c>
      <c r="H100" s="1" t="b">
        <v>1</v>
      </c>
      <c r="J100" s="1" t="s">
        <v>58</v>
      </c>
      <c r="K100" s="1" t="s">
        <v>58</v>
      </c>
      <c r="L100" s="1" t="s">
        <v>58</v>
      </c>
      <c r="M100" s="5" t="str">
        <f t="array" ref="M100">XLOOKUP(C100&amp;D100, 'Yellow Jacket Fundraising 25-26'!$A$2:$A$112 &amp; 'Yellow Jacket Fundraising 25-26'!$B$2:$B$112, 'Yellow Jacket Fundraising 25-26'!$G$2:$G$112, "Not Found")</f>
        <v>Not Found</v>
      </c>
      <c r="N100" s="1" t="s">
        <v>58</v>
      </c>
      <c r="O100" s="6" t="str">
        <f>vlookup(B100,'SF Roster'!A:G,7,false)</f>
        <v>#N/A</v>
      </c>
    </row>
    <row r="101" ht="15.75" customHeight="1">
      <c r="A101" s="1">
        <v>2044802.0</v>
      </c>
      <c r="B101" s="1" t="s">
        <v>492</v>
      </c>
      <c r="C101" s="1" t="s">
        <v>339</v>
      </c>
      <c r="D101" s="1" t="s">
        <v>493</v>
      </c>
      <c r="E101" s="1" t="s">
        <v>494</v>
      </c>
      <c r="F101" s="1" t="s">
        <v>19</v>
      </c>
      <c r="G101" s="1" t="s">
        <v>20</v>
      </c>
      <c r="H101" s="1" t="b">
        <v>1</v>
      </c>
      <c r="I101" s="1" t="s">
        <v>217</v>
      </c>
      <c r="J101" s="1" t="s">
        <v>495</v>
      </c>
      <c r="K101" s="1" t="s">
        <v>496</v>
      </c>
      <c r="L101" s="1" t="s">
        <v>497</v>
      </c>
      <c r="M101" s="5">
        <f t="array" ref="M101">XLOOKUP(C101&amp;D101, 'Yellow Jacket Fundraising 25-26'!$A$2:$A$112 &amp; 'Yellow Jacket Fundraising 25-26'!$B$2:$B$112, 'Yellow Jacket Fundraising 25-26'!$G$2:$G$112, "Not Found")</f>
        <v>66195</v>
      </c>
      <c r="N101" s="1" t="s">
        <v>114</v>
      </c>
      <c r="O101" s="6" t="str">
        <f>vlookup(B101,'SF Roster'!A:G,7,false)</f>
        <v>Committee Member</v>
      </c>
    </row>
    <row r="102" ht="15.75" customHeight="1">
      <c r="A102" s="1">
        <v>2044803.0</v>
      </c>
      <c r="B102" s="1" t="s">
        <v>26</v>
      </c>
      <c r="C102" s="1" t="s">
        <v>176</v>
      </c>
      <c r="D102" s="1" t="s">
        <v>498</v>
      </c>
      <c r="E102" s="1" t="s">
        <v>499</v>
      </c>
      <c r="F102" s="1" t="s">
        <v>19</v>
      </c>
      <c r="H102" s="1" t="b">
        <v>0</v>
      </c>
      <c r="J102" s="1" t="s">
        <v>58</v>
      </c>
      <c r="K102" s="1" t="s">
        <v>58</v>
      </c>
      <c r="L102" s="1" t="s">
        <v>58</v>
      </c>
      <c r="M102" s="5" t="str">
        <f t="array" ref="M102">XLOOKUP(C102&amp;D102, 'Yellow Jacket Fundraising 25-26'!$A$2:$A$112 &amp; 'Yellow Jacket Fundraising 25-26'!$B$2:$B$112, 'Yellow Jacket Fundraising 25-26'!$G$2:$G$112, "Not Found")</f>
        <v>Not Found</v>
      </c>
      <c r="N102" s="1" t="s">
        <v>58</v>
      </c>
      <c r="O102" s="6" t="str">
        <f>vlookup(B102,'SF Roster'!A:G,7,false)</f>
        <v>#N/A</v>
      </c>
    </row>
    <row r="103" ht="15.75" customHeight="1">
      <c r="A103" s="1">
        <v>54990.0</v>
      </c>
      <c r="B103" s="1" t="s">
        <v>26</v>
      </c>
      <c r="C103" s="1" t="s">
        <v>85</v>
      </c>
      <c r="D103" s="1" t="s">
        <v>500</v>
      </c>
      <c r="E103" s="1" t="s">
        <v>501</v>
      </c>
      <c r="F103" s="1" t="s">
        <v>56</v>
      </c>
      <c r="G103" s="1" t="s">
        <v>88</v>
      </c>
      <c r="H103" s="1" t="b">
        <v>1</v>
      </c>
      <c r="J103" s="1" t="s">
        <v>58</v>
      </c>
      <c r="K103" s="1" t="s">
        <v>58</v>
      </c>
      <c r="L103" s="1" t="s">
        <v>58</v>
      </c>
      <c r="M103" s="5" t="str">
        <f t="array" ref="M103">XLOOKUP(C103&amp;D103, 'Yellow Jacket Fundraising 25-26'!$A$2:$A$112 &amp; 'Yellow Jacket Fundraising 25-26'!$B$2:$B$112, 'Yellow Jacket Fundraising 25-26'!$G$2:$G$112, "Not Found")</f>
        <v>Not Found</v>
      </c>
      <c r="N103" s="1" t="s">
        <v>58</v>
      </c>
      <c r="O103" s="6" t="str">
        <f>vlookup(B103,'SF Roster'!A:G,7,false)</f>
        <v>#N/A</v>
      </c>
    </row>
    <row r="104" ht="15.75" customHeight="1">
      <c r="A104" s="1">
        <v>104828.0</v>
      </c>
      <c r="B104" s="1" t="s">
        <v>26</v>
      </c>
      <c r="C104" s="1" t="s">
        <v>502</v>
      </c>
      <c r="D104" s="1" t="s">
        <v>503</v>
      </c>
      <c r="E104" s="1" t="s">
        <v>504</v>
      </c>
      <c r="F104" s="1" t="s">
        <v>56</v>
      </c>
      <c r="G104" s="1" t="s">
        <v>88</v>
      </c>
      <c r="H104" s="1" t="b">
        <v>1</v>
      </c>
      <c r="J104" s="1" t="s">
        <v>58</v>
      </c>
      <c r="K104" s="1" t="s">
        <v>58</v>
      </c>
      <c r="L104" s="1" t="s">
        <v>58</v>
      </c>
      <c r="M104" s="5" t="str">
        <f t="array" ref="M104">XLOOKUP(C104&amp;D104, 'Yellow Jacket Fundraising 25-26'!$A$2:$A$112 &amp; 'Yellow Jacket Fundraising 25-26'!$B$2:$B$112, 'Yellow Jacket Fundraising 25-26'!$G$2:$G$112, "Not Found")</f>
        <v>Not Found</v>
      </c>
      <c r="N104" s="1" t="s">
        <v>58</v>
      </c>
      <c r="O104" s="6" t="str">
        <f>vlookup(B104,'SF Roster'!A:G,7,false)</f>
        <v>#N/A</v>
      </c>
    </row>
    <row r="105" ht="15.75" customHeight="1">
      <c r="A105" s="1">
        <v>2062817.0</v>
      </c>
      <c r="B105" s="1" t="s">
        <v>505</v>
      </c>
      <c r="C105" s="1" t="s">
        <v>119</v>
      </c>
      <c r="D105" s="1" t="s">
        <v>503</v>
      </c>
      <c r="E105" s="1" t="s">
        <v>506</v>
      </c>
      <c r="F105" s="1" t="s">
        <v>19</v>
      </c>
      <c r="G105" s="1" t="s">
        <v>20</v>
      </c>
      <c r="H105" s="1" t="b">
        <v>1</v>
      </c>
      <c r="I105" s="1" t="s">
        <v>136</v>
      </c>
      <c r="J105" s="1" t="s">
        <v>507</v>
      </c>
      <c r="K105" s="1" t="s">
        <v>508</v>
      </c>
      <c r="L105" s="1" t="s">
        <v>509</v>
      </c>
      <c r="M105" s="5">
        <f t="array" ref="M105">XLOOKUP(C105&amp;D105, 'Yellow Jacket Fundraising 25-26'!$A$2:$A$112 &amp; 'Yellow Jacket Fundraising 25-26'!$B$2:$B$112, 'Yellow Jacket Fundraising 25-26'!$G$2:$G$112, "Not Found")</f>
        <v>7637</v>
      </c>
      <c r="N105" s="1" t="s">
        <v>182</v>
      </c>
      <c r="O105" s="6" t="str">
        <f>vlookup(B105,'SF Roster'!A:G,7,false)</f>
        <v>Committee Member</v>
      </c>
    </row>
    <row r="106" ht="15.75" customHeight="1">
      <c r="A106" s="1">
        <v>2095206.0</v>
      </c>
      <c r="B106" s="1" t="s">
        <v>26</v>
      </c>
      <c r="C106" s="1" t="s">
        <v>510</v>
      </c>
      <c r="D106" s="1" t="s">
        <v>511</v>
      </c>
      <c r="E106" s="1" t="s">
        <v>512</v>
      </c>
      <c r="F106" s="1" t="s">
        <v>80</v>
      </c>
      <c r="G106" s="1" t="s">
        <v>81</v>
      </c>
      <c r="H106" s="1" t="b">
        <v>1</v>
      </c>
      <c r="J106" s="1" t="s">
        <v>58</v>
      </c>
      <c r="K106" s="1" t="s">
        <v>58</v>
      </c>
      <c r="L106" s="1" t="s">
        <v>58</v>
      </c>
      <c r="M106" s="5" t="str">
        <f t="array" ref="M106">XLOOKUP(C106&amp;D106, 'Yellow Jacket Fundraising 25-26'!$A$2:$A$112 &amp; 'Yellow Jacket Fundraising 25-26'!$B$2:$B$112, 'Yellow Jacket Fundraising 25-26'!$G$2:$G$112, "Not Found")</f>
        <v>Not Found</v>
      </c>
      <c r="N106" s="1" t="s">
        <v>58</v>
      </c>
      <c r="O106" s="6" t="str">
        <f>vlookup(B106,'SF Roster'!A:G,7,false)</f>
        <v>#N/A</v>
      </c>
    </row>
    <row r="107" ht="15.75" customHeight="1">
      <c r="A107" s="1">
        <v>2041816.0</v>
      </c>
      <c r="B107" s="1" t="s">
        <v>513</v>
      </c>
      <c r="C107" s="1" t="s">
        <v>514</v>
      </c>
      <c r="D107" s="1" t="s">
        <v>515</v>
      </c>
      <c r="E107" s="1" t="s">
        <v>516</v>
      </c>
      <c r="F107" s="1" t="s">
        <v>19</v>
      </c>
      <c r="G107" s="1" t="s">
        <v>20</v>
      </c>
      <c r="H107" s="1" t="b">
        <v>1</v>
      </c>
      <c r="I107" s="1" t="s">
        <v>122</v>
      </c>
      <c r="J107" s="1" t="s">
        <v>517</v>
      </c>
      <c r="K107" s="1" t="s">
        <v>518</v>
      </c>
      <c r="L107" s="1" t="s">
        <v>519</v>
      </c>
      <c r="M107" s="5">
        <f t="array" ref="M107">XLOOKUP(C107&amp;D107, 'Yellow Jacket Fundraising 25-26'!$A$2:$A$112 &amp; 'Yellow Jacket Fundraising 25-26'!$B$2:$B$112, 'Yellow Jacket Fundraising 25-26'!$G$2:$G$112, "Not Found")</f>
        <v>19385</v>
      </c>
      <c r="N107" s="1" t="s">
        <v>103</v>
      </c>
      <c r="O107" s="6" t="str">
        <f>vlookup(B107,'SF Roster'!A:G,7,false)</f>
        <v>Committee Member</v>
      </c>
    </row>
    <row r="108" ht="15.75" customHeight="1">
      <c r="A108" s="1">
        <v>105652.0</v>
      </c>
      <c r="B108" s="1" t="s">
        <v>26</v>
      </c>
      <c r="C108" s="1" t="s">
        <v>65</v>
      </c>
      <c r="D108" s="1" t="s">
        <v>520</v>
      </c>
      <c r="E108" s="1" t="s">
        <v>521</v>
      </c>
      <c r="F108" s="1" t="s">
        <v>56</v>
      </c>
      <c r="G108" s="1" t="s">
        <v>88</v>
      </c>
      <c r="H108" s="1" t="b">
        <v>1</v>
      </c>
      <c r="J108" s="1" t="s">
        <v>58</v>
      </c>
      <c r="K108" s="1" t="s">
        <v>58</v>
      </c>
      <c r="L108" s="1" t="s">
        <v>58</v>
      </c>
      <c r="M108" s="5" t="str">
        <f t="array" ref="M108">XLOOKUP(C108&amp;D108, 'Yellow Jacket Fundraising 25-26'!$A$2:$A$112 &amp; 'Yellow Jacket Fundraising 25-26'!$B$2:$B$112, 'Yellow Jacket Fundraising 25-26'!$G$2:$G$112, "Not Found")</f>
        <v>Not Found</v>
      </c>
      <c r="N108" s="1" t="s">
        <v>58</v>
      </c>
      <c r="O108" s="6" t="str">
        <f>vlookup(B108,'SF Roster'!A:G,7,false)</f>
        <v>#N/A</v>
      </c>
    </row>
    <row r="109" ht="15.75" customHeight="1">
      <c r="A109" s="1">
        <v>2138136.0</v>
      </c>
      <c r="B109" s="1" t="s">
        <v>26</v>
      </c>
      <c r="C109" s="1" t="s">
        <v>371</v>
      </c>
      <c r="D109" s="1" t="s">
        <v>522</v>
      </c>
      <c r="E109" s="1" t="s">
        <v>523</v>
      </c>
      <c r="F109" s="1" t="s">
        <v>19</v>
      </c>
      <c r="G109" s="1" t="s">
        <v>30</v>
      </c>
      <c r="H109" s="1" t="b">
        <v>1</v>
      </c>
      <c r="I109" s="1" t="s">
        <v>99</v>
      </c>
      <c r="J109" s="1" t="s">
        <v>524</v>
      </c>
      <c r="K109" s="1" t="s">
        <v>525</v>
      </c>
      <c r="L109" s="1" t="s">
        <v>526</v>
      </c>
      <c r="M109" s="5" t="str">
        <f t="array" ref="M109">XLOOKUP(C109&amp;D109, 'Yellow Jacket Fundraising 25-26'!$A$2:$A$112 &amp; 'Yellow Jacket Fundraising 25-26'!$B$2:$B$112, 'Yellow Jacket Fundraising 25-26'!$G$2:$G$112, "Not Found")</f>
        <v>Future</v>
      </c>
      <c r="N109" s="1" t="s">
        <v>35</v>
      </c>
      <c r="O109" s="6" t="str">
        <f>vlookup(B109,'SF Roster'!A:G,7,false)</f>
        <v>#N/A</v>
      </c>
    </row>
    <row r="110" ht="15.75" customHeight="1">
      <c r="A110" s="1">
        <v>2041813.0</v>
      </c>
      <c r="B110" s="1" t="s">
        <v>26</v>
      </c>
      <c r="C110" s="1" t="s">
        <v>527</v>
      </c>
      <c r="D110" s="1" t="s">
        <v>528</v>
      </c>
      <c r="E110" s="1" t="s">
        <v>529</v>
      </c>
      <c r="F110" s="1" t="s">
        <v>56</v>
      </c>
      <c r="G110" s="1" t="s">
        <v>88</v>
      </c>
      <c r="H110" s="1" t="b">
        <v>1</v>
      </c>
      <c r="J110" s="1" t="s">
        <v>58</v>
      </c>
      <c r="K110" s="1" t="s">
        <v>58</v>
      </c>
      <c r="L110" s="1" t="s">
        <v>58</v>
      </c>
      <c r="M110" s="5" t="str">
        <f t="array" ref="M110">XLOOKUP(C110&amp;D110, 'Yellow Jacket Fundraising 25-26'!$A$2:$A$112 &amp; 'Yellow Jacket Fundraising 25-26'!$B$2:$B$112, 'Yellow Jacket Fundraising 25-26'!$G$2:$G$112, "Not Found")</f>
        <v>Not Found</v>
      </c>
      <c r="N110" s="1" t="s">
        <v>58</v>
      </c>
      <c r="O110" s="6" t="str">
        <f>vlookup(B110,'SF Roster'!A:G,7,false)</f>
        <v>#N/A</v>
      </c>
    </row>
    <row r="111" ht="15.75" customHeight="1">
      <c r="A111" s="1">
        <v>2041789.0</v>
      </c>
      <c r="B111" s="1" t="s">
        <v>26</v>
      </c>
      <c r="C111" s="1" t="s">
        <v>439</v>
      </c>
      <c r="D111" s="1" t="s">
        <v>530</v>
      </c>
      <c r="E111" s="1" t="s">
        <v>531</v>
      </c>
      <c r="F111" s="1" t="s">
        <v>80</v>
      </c>
      <c r="G111" s="1" t="s">
        <v>81</v>
      </c>
      <c r="H111" s="1" t="b">
        <v>1</v>
      </c>
      <c r="J111" s="1" t="s">
        <v>58</v>
      </c>
      <c r="K111" s="1" t="s">
        <v>58</v>
      </c>
      <c r="L111" s="1" t="s">
        <v>58</v>
      </c>
      <c r="M111" s="5" t="str">
        <f t="array" ref="M111">XLOOKUP(C111&amp;D111, 'Yellow Jacket Fundraising 25-26'!$A$2:$A$112 &amp; 'Yellow Jacket Fundraising 25-26'!$B$2:$B$112, 'Yellow Jacket Fundraising 25-26'!$G$2:$G$112, "Not Found")</f>
        <v>Not Found</v>
      </c>
      <c r="N111" s="1" t="s">
        <v>58</v>
      </c>
      <c r="O111" s="6" t="str">
        <f>vlookup(B111,'SF Roster'!A:G,7,false)</f>
        <v>#N/A</v>
      </c>
    </row>
    <row r="112" ht="15.75" customHeight="1">
      <c r="A112" s="1">
        <v>2041859.0</v>
      </c>
      <c r="B112" s="1" t="s">
        <v>26</v>
      </c>
      <c r="C112" s="1" t="s">
        <v>532</v>
      </c>
      <c r="D112" s="1" t="s">
        <v>533</v>
      </c>
      <c r="E112" s="1" t="s">
        <v>534</v>
      </c>
      <c r="F112" s="1" t="s">
        <v>56</v>
      </c>
      <c r="G112" s="1" t="s">
        <v>88</v>
      </c>
      <c r="H112" s="1" t="b">
        <v>1</v>
      </c>
      <c r="J112" s="1" t="s">
        <v>58</v>
      </c>
      <c r="K112" s="1" t="s">
        <v>58</v>
      </c>
      <c r="L112" s="1" t="s">
        <v>58</v>
      </c>
      <c r="M112" s="5" t="str">
        <f t="array" ref="M112">XLOOKUP(C112&amp;D112, 'Yellow Jacket Fundraising 25-26'!$A$2:$A$112 &amp; 'Yellow Jacket Fundraising 25-26'!$B$2:$B$112, 'Yellow Jacket Fundraising 25-26'!$G$2:$G$112, "Not Found")</f>
        <v>Not Found</v>
      </c>
      <c r="N112" s="1" t="s">
        <v>58</v>
      </c>
      <c r="O112" s="6" t="str">
        <f>vlookup(B112,'SF Roster'!A:G,7,false)</f>
        <v>#N/A</v>
      </c>
    </row>
    <row r="113" ht="15.75" customHeight="1">
      <c r="A113" s="1">
        <v>2095094.0</v>
      </c>
      <c r="B113" s="1" t="s">
        <v>535</v>
      </c>
      <c r="C113" s="1" t="s">
        <v>536</v>
      </c>
      <c r="D113" s="1" t="s">
        <v>537</v>
      </c>
      <c r="E113" s="1" t="s">
        <v>538</v>
      </c>
      <c r="F113" s="1" t="s">
        <v>19</v>
      </c>
      <c r="G113" s="1" t="s">
        <v>20</v>
      </c>
      <c r="H113" s="1" t="b">
        <v>1</v>
      </c>
      <c r="I113" s="1" t="s">
        <v>110</v>
      </c>
      <c r="J113" s="1" t="s">
        <v>539</v>
      </c>
      <c r="K113" s="1" t="s">
        <v>540</v>
      </c>
      <c r="L113" s="1" t="s">
        <v>541</v>
      </c>
      <c r="M113" s="5">
        <f t="array" ref="M113">XLOOKUP(C113&amp;D113, 'Yellow Jacket Fundraising 25-26'!$A$2:$A$112 &amp; 'Yellow Jacket Fundraising 25-26'!$B$2:$B$112, 'Yellow Jacket Fundraising 25-26'!$G$2:$G$112, "Not Found")</f>
        <v>12302</v>
      </c>
      <c r="N113" s="1" t="s">
        <v>213</v>
      </c>
      <c r="O113" s="6" t="str">
        <f>vlookup(B113,'SF Roster'!A:G,7,false)</f>
        <v>Committee Member</v>
      </c>
    </row>
    <row r="114" ht="15.75" customHeight="1">
      <c r="A114" s="1">
        <v>2041790.0</v>
      </c>
      <c r="B114" s="1" t="s">
        <v>26</v>
      </c>
      <c r="C114" s="1" t="s">
        <v>200</v>
      </c>
      <c r="D114" s="1" t="s">
        <v>542</v>
      </c>
      <c r="E114" s="1" t="s">
        <v>543</v>
      </c>
      <c r="F114" s="1" t="s">
        <v>19</v>
      </c>
      <c r="G114" s="1" t="s">
        <v>20</v>
      </c>
      <c r="H114" s="1" t="b">
        <v>1</v>
      </c>
      <c r="I114" s="1" t="s">
        <v>40</v>
      </c>
      <c r="J114" s="1" t="s">
        <v>544</v>
      </c>
      <c r="K114" s="1" t="s">
        <v>545</v>
      </c>
      <c r="L114" s="1" t="s">
        <v>546</v>
      </c>
      <c r="M114" s="5">
        <f t="array" ref="M114">XLOOKUP(C114&amp;D114, 'Yellow Jacket Fundraising 25-26'!$A$2:$A$112 &amp; 'Yellow Jacket Fundraising 25-26'!$B$2:$B$112, 'Yellow Jacket Fundraising 25-26'!$G$2:$G$112, "Not Found")</f>
        <v>9064</v>
      </c>
      <c r="N114" s="1" t="s">
        <v>152</v>
      </c>
      <c r="O114" s="6" t="str">
        <f>vlookup(B114,'SF Roster'!A:G,7,false)</f>
        <v>#N/A</v>
      </c>
    </row>
    <row r="115" ht="15.75" customHeight="1">
      <c r="A115" s="1">
        <v>2044804.0</v>
      </c>
      <c r="B115" s="1" t="s">
        <v>547</v>
      </c>
      <c r="C115" s="1" t="s">
        <v>548</v>
      </c>
      <c r="D115" s="1" t="s">
        <v>549</v>
      </c>
      <c r="E115" s="1" t="s">
        <v>550</v>
      </c>
      <c r="F115" s="1" t="s">
        <v>19</v>
      </c>
      <c r="G115" s="1" t="s">
        <v>20</v>
      </c>
      <c r="H115" s="1" t="b">
        <v>1</v>
      </c>
      <c r="I115" s="1" t="s">
        <v>122</v>
      </c>
      <c r="J115" s="1" t="s">
        <v>551</v>
      </c>
      <c r="K115" s="1" t="s">
        <v>552</v>
      </c>
      <c r="L115" s="1" t="s">
        <v>553</v>
      </c>
      <c r="M115" s="5">
        <f t="array" ref="M115">XLOOKUP(C115&amp;D115, 'Yellow Jacket Fundraising 25-26'!$A$2:$A$112 &amp; 'Yellow Jacket Fundraising 25-26'!$B$2:$B$112, 'Yellow Jacket Fundraising 25-26'!$G$2:$G$112, "Not Found")</f>
        <v>11918</v>
      </c>
      <c r="N115" s="1" t="s">
        <v>114</v>
      </c>
      <c r="O115" s="6" t="str">
        <f>vlookup(B115,'SF Roster'!A:G,7,false)</f>
        <v>Committee Member</v>
      </c>
    </row>
    <row r="116" ht="15.75" customHeight="1">
      <c r="A116" s="1">
        <v>83861.0</v>
      </c>
      <c r="B116" s="1" t="s">
        <v>26</v>
      </c>
      <c r="C116" s="1" t="s">
        <v>554</v>
      </c>
      <c r="D116" s="1" t="s">
        <v>555</v>
      </c>
      <c r="E116" s="1" t="s">
        <v>556</v>
      </c>
      <c r="F116" s="1" t="s">
        <v>56</v>
      </c>
      <c r="G116" s="1" t="s">
        <v>88</v>
      </c>
      <c r="H116" s="1" t="b">
        <v>1</v>
      </c>
      <c r="J116" s="1" t="s">
        <v>58</v>
      </c>
      <c r="K116" s="1" t="s">
        <v>58</v>
      </c>
      <c r="L116" s="1" t="s">
        <v>58</v>
      </c>
      <c r="M116" s="5" t="str">
        <f t="array" ref="M116">XLOOKUP(C116&amp;D116, 'Yellow Jacket Fundraising 25-26'!$A$2:$A$112 &amp; 'Yellow Jacket Fundraising 25-26'!$B$2:$B$112, 'Yellow Jacket Fundraising 25-26'!$G$2:$G$112, "Not Found")</f>
        <v>Not Found</v>
      </c>
      <c r="N116" s="1" t="s">
        <v>58</v>
      </c>
      <c r="O116" s="6" t="str">
        <f>vlookup(B116,'SF Roster'!A:G,7,false)</f>
        <v>#N/A</v>
      </c>
    </row>
    <row r="117" ht="15.75" customHeight="1">
      <c r="A117" s="1">
        <v>2041814.0</v>
      </c>
      <c r="B117" s="1" t="s">
        <v>26</v>
      </c>
      <c r="C117" s="1" t="s">
        <v>222</v>
      </c>
      <c r="D117" s="1" t="s">
        <v>557</v>
      </c>
      <c r="E117" s="1" t="s">
        <v>558</v>
      </c>
      <c r="F117" s="1" t="s">
        <v>19</v>
      </c>
      <c r="G117" s="1" t="s">
        <v>20</v>
      </c>
      <c r="H117" s="1" t="b">
        <v>1</v>
      </c>
      <c r="I117" s="1" t="s">
        <v>329</v>
      </c>
      <c r="J117" s="1" t="s">
        <v>559</v>
      </c>
      <c r="K117" s="1" t="s">
        <v>560</v>
      </c>
      <c r="L117" s="1" t="s">
        <v>561</v>
      </c>
      <c r="M117" s="5">
        <f t="array" ref="M117">XLOOKUP(C117&amp;D117, 'Yellow Jacket Fundraising 25-26'!$A$2:$A$112 &amp; 'Yellow Jacket Fundraising 25-26'!$B$2:$B$112, 'Yellow Jacket Fundraising 25-26'!$G$2:$G$112, "Not Found")</f>
        <v>7765</v>
      </c>
      <c r="N117" s="1" t="s">
        <v>562</v>
      </c>
      <c r="O117" s="6" t="str">
        <f>vlookup(B117,'SF Roster'!A:G,7,false)</f>
        <v>#N/A</v>
      </c>
    </row>
    <row r="118" ht="15.75" customHeight="1">
      <c r="A118" s="1">
        <v>100764.0</v>
      </c>
      <c r="B118" s="1" t="s">
        <v>26</v>
      </c>
      <c r="C118" s="1" t="s">
        <v>65</v>
      </c>
      <c r="D118" s="1" t="s">
        <v>563</v>
      </c>
      <c r="E118" s="1" t="s">
        <v>564</v>
      </c>
      <c r="F118" s="1" t="s">
        <v>19</v>
      </c>
      <c r="H118" s="1" t="b">
        <v>0</v>
      </c>
      <c r="J118" s="1" t="s">
        <v>58</v>
      </c>
      <c r="K118" s="1" t="s">
        <v>58</v>
      </c>
      <c r="L118" s="1" t="s">
        <v>58</v>
      </c>
      <c r="M118" s="5" t="str">
        <f t="array" ref="M118">XLOOKUP(C118&amp;D118, 'Yellow Jacket Fundraising 25-26'!$A$2:$A$112 &amp; 'Yellow Jacket Fundraising 25-26'!$B$2:$B$112, 'Yellow Jacket Fundraising 25-26'!$G$2:$G$112, "Not Found")</f>
        <v>Not Found</v>
      </c>
      <c r="N118" s="1" t="s">
        <v>58</v>
      </c>
      <c r="O118" s="6" t="str">
        <f>vlookup(B118,'SF Roster'!A:G,7,false)</f>
        <v>#N/A</v>
      </c>
    </row>
    <row r="119" ht="15.75" customHeight="1">
      <c r="A119" s="1">
        <v>2041812.0</v>
      </c>
      <c r="B119" s="1" t="s">
        <v>565</v>
      </c>
      <c r="C119" s="1" t="s">
        <v>498</v>
      </c>
      <c r="D119" s="1" t="s">
        <v>566</v>
      </c>
      <c r="E119" s="1" t="s">
        <v>567</v>
      </c>
      <c r="F119" s="1" t="s">
        <v>19</v>
      </c>
      <c r="G119" s="1" t="s">
        <v>20</v>
      </c>
      <c r="H119" s="1" t="b">
        <v>1</v>
      </c>
      <c r="I119" s="1" t="s">
        <v>72</v>
      </c>
      <c r="J119" s="1" t="s">
        <v>568</v>
      </c>
      <c r="K119" s="1" t="s">
        <v>569</v>
      </c>
      <c r="L119" s="1" t="s">
        <v>570</v>
      </c>
      <c r="M119" s="5">
        <f t="array" ref="M119">XLOOKUP(C119&amp;D119, 'Yellow Jacket Fundraising 25-26'!$A$2:$A$112 &amp; 'Yellow Jacket Fundraising 25-26'!$B$2:$B$112, 'Yellow Jacket Fundraising 25-26'!$G$2:$G$112, "Not Found")</f>
        <v>13509</v>
      </c>
      <c r="N119" s="1" t="s">
        <v>103</v>
      </c>
      <c r="O119" s="6" t="str">
        <f>vlookup(B119,'SF Roster'!A:G,7,false)</f>
        <v>Committee Member</v>
      </c>
    </row>
    <row r="120" ht="15.75" customHeight="1">
      <c r="A120" s="1">
        <v>2041830.0</v>
      </c>
      <c r="B120" s="1" t="s">
        <v>26</v>
      </c>
      <c r="C120" s="1" t="s">
        <v>254</v>
      </c>
      <c r="D120" s="1" t="s">
        <v>536</v>
      </c>
      <c r="E120" s="1" t="s">
        <v>571</v>
      </c>
      <c r="F120" s="1" t="s">
        <v>19</v>
      </c>
      <c r="H120" s="1" t="b">
        <v>0</v>
      </c>
      <c r="J120" s="1" t="s">
        <v>58</v>
      </c>
      <c r="K120" s="1" t="s">
        <v>58</v>
      </c>
      <c r="L120" s="1" t="s">
        <v>58</v>
      </c>
      <c r="M120" s="5" t="str">
        <f t="array" ref="M120">XLOOKUP(C120&amp;D120, 'Yellow Jacket Fundraising 25-26'!$A$2:$A$112 &amp; 'Yellow Jacket Fundraising 25-26'!$B$2:$B$112, 'Yellow Jacket Fundraising 25-26'!$G$2:$G$112, "Not Found")</f>
        <v>Not Found</v>
      </c>
      <c r="N120" s="1" t="s">
        <v>58</v>
      </c>
      <c r="O120" s="6" t="str">
        <f>vlookup(B120,'SF Roster'!A:G,7,false)</f>
        <v>#N/A</v>
      </c>
    </row>
    <row r="121" ht="15.75" customHeight="1">
      <c r="A121" s="1">
        <v>56948.0</v>
      </c>
      <c r="B121" s="1" t="s">
        <v>572</v>
      </c>
      <c r="C121" s="1" t="s">
        <v>37</v>
      </c>
      <c r="D121" s="1" t="s">
        <v>573</v>
      </c>
      <c r="E121" s="1" t="s">
        <v>574</v>
      </c>
      <c r="F121" s="1" t="s">
        <v>19</v>
      </c>
      <c r="G121" s="1" t="s">
        <v>20</v>
      </c>
      <c r="H121" s="1" t="b">
        <v>1</v>
      </c>
      <c r="I121" s="1" t="s">
        <v>99</v>
      </c>
      <c r="J121" s="1" t="s">
        <v>575</v>
      </c>
      <c r="K121" s="1" t="s">
        <v>576</v>
      </c>
      <c r="L121" s="1" t="s">
        <v>577</v>
      </c>
      <c r="M121" s="5">
        <f t="array" ref="M121">XLOOKUP(C121&amp;D121, 'Yellow Jacket Fundraising 25-26'!$A$2:$A$112 &amp; 'Yellow Jacket Fundraising 25-26'!$B$2:$B$112, 'Yellow Jacket Fundraising 25-26'!$G$2:$G$112, "Not Found")</f>
        <v>50378</v>
      </c>
      <c r="N121" s="8">
        <v>39692.0</v>
      </c>
      <c r="O121" s="6" t="str">
        <f>vlookup(B121,'SF Roster'!A:G,7,false)</f>
        <v>Committee Member</v>
      </c>
    </row>
    <row r="122" ht="15.75" customHeight="1">
      <c r="A122" s="1">
        <v>102421.0</v>
      </c>
      <c r="B122" s="1" t="s">
        <v>578</v>
      </c>
      <c r="C122" s="1" t="s">
        <v>579</v>
      </c>
      <c r="D122" s="1" t="s">
        <v>580</v>
      </c>
      <c r="E122" s="1" t="s">
        <v>581</v>
      </c>
      <c r="F122" s="1" t="s">
        <v>19</v>
      </c>
      <c r="G122" s="1" t="s">
        <v>20</v>
      </c>
      <c r="H122" s="1" t="b">
        <v>1</v>
      </c>
      <c r="I122" s="1" t="s">
        <v>122</v>
      </c>
      <c r="J122" s="1" t="s">
        <v>582</v>
      </c>
      <c r="K122" s="1" t="s">
        <v>583</v>
      </c>
      <c r="L122" s="1" t="s">
        <v>584</v>
      </c>
      <c r="M122" s="5">
        <f t="array" ref="M122">XLOOKUP(C122&amp;D122, 'Yellow Jacket Fundraising 25-26'!$A$2:$A$112 &amp; 'Yellow Jacket Fundraising 25-26'!$B$2:$B$112, 'Yellow Jacket Fundraising 25-26'!$G$2:$G$112, "Not Found")</f>
        <v>42030</v>
      </c>
      <c r="N122" s="7">
        <v>40878.0</v>
      </c>
      <c r="O122" s="6" t="str">
        <f>vlookup(B122,'SF Roster'!A:G,7,false)</f>
        <v>Committee Member</v>
      </c>
    </row>
    <row r="123" ht="15.75" customHeight="1">
      <c r="A123" s="1">
        <v>78923.0</v>
      </c>
      <c r="B123" s="1" t="s">
        <v>26</v>
      </c>
      <c r="C123" s="1" t="s">
        <v>166</v>
      </c>
      <c r="D123" s="1" t="s">
        <v>585</v>
      </c>
      <c r="E123" s="1" t="s">
        <v>586</v>
      </c>
      <c r="F123" s="1" t="s">
        <v>56</v>
      </c>
      <c r="G123" s="1" t="s">
        <v>88</v>
      </c>
      <c r="H123" s="1" t="b">
        <v>1</v>
      </c>
      <c r="J123" s="1" t="s">
        <v>58</v>
      </c>
      <c r="K123" s="1" t="s">
        <v>58</v>
      </c>
      <c r="L123" s="1" t="s">
        <v>58</v>
      </c>
      <c r="M123" s="5" t="str">
        <f t="array" ref="M123">XLOOKUP(C123&amp;D123, 'Yellow Jacket Fundraising 25-26'!$A$2:$A$112 &amp; 'Yellow Jacket Fundraising 25-26'!$B$2:$B$112, 'Yellow Jacket Fundraising 25-26'!$G$2:$G$112, "Not Found")</f>
        <v>Not Found</v>
      </c>
      <c r="N123" s="1" t="s">
        <v>58</v>
      </c>
      <c r="O123" s="6" t="str">
        <f>vlookup(B123,'SF Roster'!A:G,7,false)</f>
        <v>#N/A</v>
      </c>
    </row>
    <row r="124" ht="15.75" customHeight="1">
      <c r="A124" s="1">
        <v>2041815.0</v>
      </c>
      <c r="B124" s="1" t="s">
        <v>26</v>
      </c>
      <c r="C124" s="1" t="s">
        <v>281</v>
      </c>
      <c r="D124" s="1" t="s">
        <v>587</v>
      </c>
      <c r="E124" s="1" t="s">
        <v>588</v>
      </c>
      <c r="F124" s="1" t="s">
        <v>56</v>
      </c>
      <c r="G124" s="1" t="s">
        <v>57</v>
      </c>
      <c r="H124" s="1" t="b">
        <v>1</v>
      </c>
      <c r="J124" s="1" t="s">
        <v>58</v>
      </c>
      <c r="K124" s="1" t="s">
        <v>58</v>
      </c>
      <c r="L124" s="1" t="s">
        <v>58</v>
      </c>
      <c r="M124" s="5" t="str">
        <f t="array" ref="M124">XLOOKUP(C124&amp;D124, 'Yellow Jacket Fundraising 25-26'!$A$2:$A$112 &amp; 'Yellow Jacket Fundraising 25-26'!$B$2:$B$112, 'Yellow Jacket Fundraising 25-26'!$G$2:$G$112, "Not Found")</f>
        <v>Not Found</v>
      </c>
      <c r="N124" s="1" t="s">
        <v>58</v>
      </c>
      <c r="O124" s="6" t="str">
        <f>vlookup(B124,'SF Roster'!A:G,7,false)</f>
        <v>#N/A</v>
      </c>
    </row>
    <row r="125" ht="15.75" customHeight="1">
      <c r="A125" s="1">
        <v>2044805.0</v>
      </c>
      <c r="B125" s="1" t="s">
        <v>26</v>
      </c>
      <c r="C125" s="1" t="s">
        <v>254</v>
      </c>
      <c r="D125" s="1" t="s">
        <v>589</v>
      </c>
      <c r="E125" s="1" t="s">
        <v>590</v>
      </c>
      <c r="F125" s="1" t="s">
        <v>19</v>
      </c>
      <c r="H125" s="1" t="b">
        <v>0</v>
      </c>
      <c r="J125" s="1" t="s">
        <v>58</v>
      </c>
      <c r="K125" s="1" t="s">
        <v>58</v>
      </c>
      <c r="L125" s="1" t="s">
        <v>58</v>
      </c>
      <c r="M125" s="5" t="str">
        <f t="array" ref="M125">XLOOKUP(C125&amp;D125, 'Yellow Jacket Fundraising 25-26'!$A$2:$A$112 &amp; 'Yellow Jacket Fundraising 25-26'!$B$2:$B$112, 'Yellow Jacket Fundraising 25-26'!$G$2:$G$112, "Not Found")</f>
        <v>Not Found</v>
      </c>
      <c r="N125" s="1" t="s">
        <v>58</v>
      </c>
      <c r="O125" s="6" t="str">
        <f>vlookup(B125,'SF Roster'!A:G,7,false)</f>
        <v>#N/A</v>
      </c>
    </row>
    <row r="126" ht="15.75" customHeight="1">
      <c r="A126" s="1">
        <v>99082.0</v>
      </c>
      <c r="B126" s="1" t="s">
        <v>591</v>
      </c>
      <c r="C126" s="1" t="s">
        <v>592</v>
      </c>
      <c r="D126" s="1" t="s">
        <v>593</v>
      </c>
      <c r="E126" s="1" t="s">
        <v>594</v>
      </c>
      <c r="F126" s="1" t="s">
        <v>19</v>
      </c>
      <c r="G126" s="1" t="s">
        <v>20</v>
      </c>
      <c r="H126" s="1" t="b">
        <v>1</v>
      </c>
      <c r="I126" s="1" t="s">
        <v>329</v>
      </c>
      <c r="J126" s="1" t="s">
        <v>595</v>
      </c>
      <c r="K126" s="1" t="s">
        <v>596</v>
      </c>
      <c r="L126" s="1" t="s">
        <v>597</v>
      </c>
      <c r="M126" s="5">
        <f t="array" ref="M126">XLOOKUP(C126&amp;D126, 'Yellow Jacket Fundraising 25-26'!$A$2:$A$112 &amp; 'Yellow Jacket Fundraising 25-26'!$B$2:$B$112, 'Yellow Jacket Fundraising 25-26'!$G$2:$G$112, "Not Found")</f>
        <v>19810</v>
      </c>
      <c r="N126" s="1" t="s">
        <v>324</v>
      </c>
      <c r="O126" s="6" t="str">
        <f>vlookup(B126,'SF Roster'!A:G,7,false)</f>
        <v>Committee Member</v>
      </c>
    </row>
    <row r="127" ht="15.75" customHeight="1">
      <c r="A127" s="1">
        <v>2044806.0</v>
      </c>
      <c r="B127" s="1" t="s">
        <v>598</v>
      </c>
      <c r="C127" s="1" t="s">
        <v>140</v>
      </c>
      <c r="D127" s="1" t="s">
        <v>593</v>
      </c>
      <c r="E127" s="1" t="s">
        <v>599</v>
      </c>
      <c r="F127" s="1" t="s">
        <v>19</v>
      </c>
      <c r="G127" s="1" t="s">
        <v>20</v>
      </c>
      <c r="H127" s="1" t="b">
        <v>1</v>
      </c>
      <c r="I127" s="1" t="s">
        <v>31</v>
      </c>
      <c r="J127" s="1" t="s">
        <v>600</v>
      </c>
      <c r="K127" s="1" t="s">
        <v>601</v>
      </c>
      <c r="L127" s="1" t="s">
        <v>602</v>
      </c>
      <c r="M127" s="5">
        <f t="array" ref="M127">XLOOKUP(C127&amp;D127, 'Yellow Jacket Fundraising 25-26'!$A$2:$A$112 &amp; 'Yellow Jacket Fundraising 25-26'!$B$2:$B$112, 'Yellow Jacket Fundraising 25-26'!$G$2:$G$112, "Not Found")</f>
        <v>37856</v>
      </c>
      <c r="N127" s="1" t="s">
        <v>114</v>
      </c>
      <c r="O127" s="6" t="str">
        <f>vlookup(B127,'SF Roster'!A:G,7,false)</f>
        <v>Committee Member</v>
      </c>
    </row>
    <row r="128" ht="15.75" customHeight="1">
      <c r="A128" s="1">
        <v>2095177.0</v>
      </c>
      <c r="B128" s="1" t="s">
        <v>26</v>
      </c>
      <c r="C128" s="1" t="s">
        <v>603</v>
      </c>
      <c r="D128" s="1" t="s">
        <v>593</v>
      </c>
      <c r="E128" s="1" t="s">
        <v>604</v>
      </c>
      <c r="F128" s="1" t="s">
        <v>19</v>
      </c>
      <c r="G128" s="1" t="s">
        <v>20</v>
      </c>
      <c r="H128" s="2" t="b">
        <v>0</v>
      </c>
      <c r="J128" s="1" t="s">
        <v>58</v>
      </c>
      <c r="K128" s="1" t="s">
        <v>58</v>
      </c>
      <c r="L128" s="1" t="s">
        <v>58</v>
      </c>
      <c r="M128" s="5" t="str">
        <f t="array" ref="M128">XLOOKUP(C128&amp;D128, 'Yellow Jacket Fundraising 25-26'!$A$2:$A$112 &amp; 'Yellow Jacket Fundraising 25-26'!$B$2:$B$112, 'Yellow Jacket Fundraising 25-26'!$G$2:$G$112, "Not Found")</f>
        <v>Not Found</v>
      </c>
      <c r="N128" s="1" t="s">
        <v>58</v>
      </c>
      <c r="O128" s="6" t="str">
        <f>vlookup(B128,'SF Roster'!A:G,7,false)</f>
        <v>#N/A</v>
      </c>
    </row>
    <row r="129" ht="15.75" customHeight="1">
      <c r="A129" s="1">
        <v>2138137.0</v>
      </c>
      <c r="B129" s="1" t="s">
        <v>26</v>
      </c>
      <c r="C129" s="1" t="s">
        <v>605</v>
      </c>
      <c r="D129" s="1" t="s">
        <v>606</v>
      </c>
      <c r="E129" s="1" t="s">
        <v>607</v>
      </c>
      <c r="F129" s="1" t="s">
        <v>19</v>
      </c>
      <c r="G129" s="1" t="s">
        <v>30</v>
      </c>
      <c r="H129" s="1" t="b">
        <v>1</v>
      </c>
      <c r="I129" s="1" t="s">
        <v>217</v>
      </c>
      <c r="J129" s="1" t="s">
        <v>608</v>
      </c>
      <c r="K129" s="1" t="s">
        <v>609</v>
      </c>
      <c r="L129" s="1" t="s">
        <v>610</v>
      </c>
      <c r="M129" s="5" t="str">
        <f t="array" ref="M129">XLOOKUP(C129&amp;D129, 'Yellow Jacket Fundraising 25-26'!$A$2:$A$112 &amp; 'Yellow Jacket Fundraising 25-26'!$B$2:$B$112, 'Yellow Jacket Fundraising 25-26'!$G$2:$G$112, "Not Found")</f>
        <v>Future</v>
      </c>
      <c r="N129" s="1" t="s">
        <v>35</v>
      </c>
      <c r="O129" s="6" t="str">
        <f>vlookup(B129,'SF Roster'!A:G,7,false)</f>
        <v>#N/A</v>
      </c>
    </row>
    <row r="130" ht="15.75" customHeight="1">
      <c r="A130" s="1">
        <v>100560.0</v>
      </c>
      <c r="B130" s="1" t="s">
        <v>611</v>
      </c>
      <c r="C130" s="1" t="s">
        <v>612</v>
      </c>
      <c r="D130" s="1" t="s">
        <v>613</v>
      </c>
      <c r="E130" s="1" t="s">
        <v>614</v>
      </c>
      <c r="F130" s="1" t="s">
        <v>19</v>
      </c>
      <c r="G130" s="1" t="s">
        <v>20</v>
      </c>
      <c r="H130" s="1" t="b">
        <v>1</v>
      </c>
      <c r="I130" s="1" t="s">
        <v>72</v>
      </c>
      <c r="J130" s="1" t="s">
        <v>615</v>
      </c>
      <c r="K130" s="1" t="s">
        <v>616</v>
      </c>
      <c r="L130" s="1" t="s">
        <v>617</v>
      </c>
      <c r="M130" s="5">
        <f t="array" ref="M130">XLOOKUP(C130&amp;D130, 'Yellow Jacket Fundraising 25-26'!$A$2:$A$112 &amp; 'Yellow Jacket Fundraising 25-26'!$B$2:$B$112, 'Yellow Jacket Fundraising 25-26'!$G$2:$G$112, "Not Found")</f>
        <v>15830</v>
      </c>
      <c r="N130" s="1" t="s">
        <v>25</v>
      </c>
      <c r="O130" s="6" t="str">
        <f>vlookup(B130,'SF Roster'!A:G,7,false)</f>
        <v>Committee Member</v>
      </c>
    </row>
    <row r="131" ht="15.75" customHeight="1">
      <c r="A131" s="1">
        <v>2095095.0</v>
      </c>
      <c r="B131" s="1" t="s">
        <v>618</v>
      </c>
      <c r="C131" s="1" t="s">
        <v>489</v>
      </c>
      <c r="D131" s="1" t="s">
        <v>619</v>
      </c>
      <c r="E131" s="1" t="s">
        <v>620</v>
      </c>
      <c r="F131" s="1" t="s">
        <v>19</v>
      </c>
      <c r="G131" s="1" t="s">
        <v>20</v>
      </c>
      <c r="H131" s="1" t="b">
        <v>1</v>
      </c>
      <c r="I131" s="1" t="s">
        <v>122</v>
      </c>
      <c r="J131" s="1" t="s">
        <v>621</v>
      </c>
      <c r="K131" s="1" t="s">
        <v>622</v>
      </c>
      <c r="L131" s="1" t="s">
        <v>623</v>
      </c>
      <c r="M131" s="5">
        <f t="array" ref="M131">XLOOKUP(C131&amp;D131, 'Yellow Jacket Fundraising 25-26'!$A$2:$A$112 &amp; 'Yellow Jacket Fundraising 25-26'!$B$2:$B$112, 'Yellow Jacket Fundraising 25-26'!$G$2:$G$112, "Not Found")</f>
        <v>12571</v>
      </c>
      <c r="N131" s="1" t="s">
        <v>213</v>
      </c>
      <c r="O131" s="6" t="str">
        <f>vlookup(B131,'SF Roster'!A:G,7,false)</f>
        <v>Committee Member</v>
      </c>
    </row>
    <row r="132" ht="15.75" customHeight="1">
      <c r="A132" s="1">
        <v>62504.0</v>
      </c>
      <c r="B132" s="1" t="s">
        <v>624</v>
      </c>
      <c r="C132" s="1" t="s">
        <v>318</v>
      </c>
      <c r="D132" s="1" t="s">
        <v>625</v>
      </c>
      <c r="E132" s="1" t="s">
        <v>626</v>
      </c>
      <c r="F132" s="1" t="s">
        <v>19</v>
      </c>
      <c r="G132" s="1" t="s">
        <v>20</v>
      </c>
      <c r="H132" s="1" t="b">
        <v>1</v>
      </c>
      <c r="I132" s="1" t="s">
        <v>40</v>
      </c>
      <c r="J132" s="1" t="s">
        <v>627</v>
      </c>
      <c r="K132" s="1" t="s">
        <v>628</v>
      </c>
      <c r="L132" s="1" t="s">
        <v>629</v>
      </c>
      <c r="M132" s="5">
        <f t="array" ref="M132">XLOOKUP(C132&amp;D132, 'Yellow Jacket Fundraising 25-26'!$A$2:$A$112 &amp; 'Yellow Jacket Fundraising 25-26'!$B$2:$B$112, 'Yellow Jacket Fundraising 25-26'!$G$2:$G$112, "Not Found")</f>
        <v>99540</v>
      </c>
      <c r="N132" s="1" t="s">
        <v>630</v>
      </c>
      <c r="O132" s="6" t="str">
        <f>vlookup(B132,'SF Roster'!A:G,7,false)</f>
        <v>Committee Member</v>
      </c>
    </row>
    <row r="133" ht="15.75" customHeight="1">
      <c r="A133" s="1">
        <v>100955.0</v>
      </c>
      <c r="B133" s="1" t="s">
        <v>26</v>
      </c>
      <c r="C133" s="1" t="s">
        <v>631</v>
      </c>
      <c r="D133" s="1" t="s">
        <v>632</v>
      </c>
      <c r="E133" s="1" t="s">
        <v>633</v>
      </c>
      <c r="F133" s="1" t="s">
        <v>56</v>
      </c>
      <c r="G133" s="1" t="s">
        <v>88</v>
      </c>
      <c r="H133" s="1" t="b">
        <v>1</v>
      </c>
      <c r="J133" s="1" t="s">
        <v>58</v>
      </c>
      <c r="K133" s="1" t="s">
        <v>58</v>
      </c>
      <c r="L133" s="1" t="s">
        <v>58</v>
      </c>
      <c r="M133" s="5" t="str">
        <f t="array" ref="M133">XLOOKUP(C133&amp;D133, 'Yellow Jacket Fundraising 25-26'!$A$2:$A$112 &amp; 'Yellow Jacket Fundraising 25-26'!$B$2:$B$112, 'Yellow Jacket Fundraising 25-26'!$G$2:$G$112, "Not Found")</f>
        <v>Not Found</v>
      </c>
      <c r="N133" s="1" t="s">
        <v>58</v>
      </c>
      <c r="O133" s="6" t="str">
        <f>vlookup(B133,'SF Roster'!A:G,7,false)</f>
        <v>#N/A</v>
      </c>
    </row>
    <row r="134" ht="15.75" customHeight="1">
      <c r="A134" s="1">
        <v>2138138.0</v>
      </c>
      <c r="B134" s="1" t="s">
        <v>634</v>
      </c>
      <c r="C134" s="1" t="s">
        <v>631</v>
      </c>
      <c r="D134" s="1" t="s">
        <v>635</v>
      </c>
      <c r="E134" s="1" t="s">
        <v>636</v>
      </c>
      <c r="F134" s="1" t="s">
        <v>19</v>
      </c>
      <c r="G134" s="1" t="s">
        <v>30</v>
      </c>
      <c r="H134" s="1" t="b">
        <v>1</v>
      </c>
      <c r="I134" s="1" t="s">
        <v>257</v>
      </c>
      <c r="J134" s="1" t="s">
        <v>637</v>
      </c>
      <c r="K134" s="1" t="s">
        <v>638</v>
      </c>
      <c r="L134" s="1" t="s">
        <v>639</v>
      </c>
      <c r="M134" s="5" t="str">
        <f t="array" ref="M134">XLOOKUP(C134&amp;D134, 'Yellow Jacket Fundraising 25-26'!$A$2:$A$112 &amp; 'Yellow Jacket Fundraising 25-26'!$B$2:$B$112, 'Yellow Jacket Fundraising 25-26'!$G$2:$G$112, "Not Found")</f>
        <v>Future</v>
      </c>
      <c r="N134" s="1" t="s">
        <v>35</v>
      </c>
      <c r="O134" s="6" t="str">
        <f>vlookup(B134,'SF Roster'!A:G,7,false)</f>
        <v>Fiesta Future</v>
      </c>
    </row>
    <row r="135" ht="15.75" customHeight="1">
      <c r="A135" s="1">
        <v>2041828.0</v>
      </c>
      <c r="B135" s="1" t="s">
        <v>26</v>
      </c>
      <c r="C135" s="1" t="s">
        <v>326</v>
      </c>
      <c r="D135" s="1" t="s">
        <v>640</v>
      </c>
      <c r="E135" s="1" t="s">
        <v>641</v>
      </c>
      <c r="F135" s="1" t="s">
        <v>19</v>
      </c>
      <c r="H135" s="1" t="b">
        <v>0</v>
      </c>
      <c r="J135" s="1" t="s">
        <v>58</v>
      </c>
      <c r="K135" s="1" t="s">
        <v>58</v>
      </c>
      <c r="L135" s="1" t="s">
        <v>58</v>
      </c>
      <c r="M135" s="5" t="str">
        <f t="array" ref="M135">XLOOKUP(C135&amp;D135, 'Yellow Jacket Fundraising 25-26'!$A$2:$A$112 &amp; 'Yellow Jacket Fundraising 25-26'!$B$2:$B$112, 'Yellow Jacket Fundraising 25-26'!$G$2:$G$112, "Not Found")</f>
        <v>Not Found</v>
      </c>
      <c r="N135" s="1" t="s">
        <v>58</v>
      </c>
      <c r="O135" s="6" t="str">
        <f>vlookup(B135,'SF Roster'!A:G,7,false)</f>
        <v>#N/A</v>
      </c>
    </row>
    <row r="136" ht="15.75" customHeight="1">
      <c r="A136" s="1">
        <v>95714.0</v>
      </c>
      <c r="B136" s="1" t="s">
        <v>642</v>
      </c>
      <c r="C136" s="1" t="s">
        <v>643</v>
      </c>
      <c r="D136" s="1" t="s">
        <v>644</v>
      </c>
      <c r="E136" s="1" t="s">
        <v>645</v>
      </c>
      <c r="F136" s="1" t="s">
        <v>19</v>
      </c>
      <c r="G136" s="1" t="s">
        <v>20</v>
      </c>
      <c r="H136" s="1" t="b">
        <v>1</v>
      </c>
      <c r="I136" s="1" t="s">
        <v>99</v>
      </c>
      <c r="J136" s="1" t="s">
        <v>646</v>
      </c>
      <c r="K136" s="1" t="s">
        <v>647</v>
      </c>
      <c r="L136" s="1" t="s">
        <v>648</v>
      </c>
      <c r="M136" s="5">
        <f t="array" ref="M136">XLOOKUP(C136&amp;D136, 'Yellow Jacket Fundraising 25-26'!$A$2:$A$112 &amp; 'Yellow Jacket Fundraising 25-26'!$B$2:$B$112, 'Yellow Jacket Fundraising 25-26'!$G$2:$G$112, "Not Found")</f>
        <v>115875</v>
      </c>
      <c r="N136" s="1" t="s">
        <v>25</v>
      </c>
      <c r="O136" s="6" t="str">
        <f>vlookup(B136,'SF Roster'!A:G,7,false)</f>
        <v>Committee Member</v>
      </c>
    </row>
    <row r="137" ht="15.75" customHeight="1">
      <c r="A137" s="1">
        <v>2041851.0</v>
      </c>
      <c r="B137" s="1" t="s">
        <v>26</v>
      </c>
      <c r="C137" s="1" t="s">
        <v>649</v>
      </c>
      <c r="D137" s="1" t="s">
        <v>650</v>
      </c>
      <c r="E137" s="1" t="s">
        <v>651</v>
      </c>
      <c r="F137" s="1" t="s">
        <v>56</v>
      </c>
      <c r="G137" s="1" t="s">
        <v>88</v>
      </c>
      <c r="H137" s="1" t="b">
        <v>1</v>
      </c>
      <c r="J137" s="1" t="s">
        <v>58</v>
      </c>
      <c r="K137" s="1" t="s">
        <v>58</v>
      </c>
      <c r="L137" s="1" t="s">
        <v>58</v>
      </c>
      <c r="M137" s="5" t="str">
        <f t="array" ref="M137">XLOOKUP(C137&amp;D137, 'Yellow Jacket Fundraising 25-26'!$A$2:$A$112 &amp; 'Yellow Jacket Fundraising 25-26'!$B$2:$B$112, 'Yellow Jacket Fundraising 25-26'!$G$2:$G$112, "Not Found")</f>
        <v>Not Found</v>
      </c>
      <c r="N137" s="1" t="s">
        <v>58</v>
      </c>
      <c r="O137" s="6" t="str">
        <f>vlookup(B137,'SF Roster'!A:G,7,false)</f>
        <v>#N/A</v>
      </c>
    </row>
    <row r="138" ht="15.75" customHeight="1">
      <c r="A138" s="1">
        <v>2095096.0</v>
      </c>
      <c r="B138" s="1" t="s">
        <v>652</v>
      </c>
      <c r="C138" s="1" t="s">
        <v>653</v>
      </c>
      <c r="D138" s="1" t="s">
        <v>654</v>
      </c>
      <c r="E138" s="1" t="s">
        <v>655</v>
      </c>
      <c r="F138" s="1" t="s">
        <v>19</v>
      </c>
      <c r="G138" s="1" t="s">
        <v>20</v>
      </c>
      <c r="H138" s="1" t="b">
        <v>1</v>
      </c>
      <c r="I138" s="1" t="s">
        <v>40</v>
      </c>
      <c r="J138" s="1" t="s">
        <v>656</v>
      </c>
      <c r="K138" s="1" t="s">
        <v>657</v>
      </c>
      <c r="L138" s="1" t="s">
        <v>658</v>
      </c>
      <c r="M138" s="5">
        <f t="array" ref="M138">XLOOKUP(C138&amp;D138, 'Yellow Jacket Fundraising 25-26'!$A$2:$A$112 &amp; 'Yellow Jacket Fundraising 25-26'!$B$2:$B$112, 'Yellow Jacket Fundraising 25-26'!$G$2:$G$112, "Not Found")</f>
        <v>17172</v>
      </c>
      <c r="N138" s="1" t="s">
        <v>213</v>
      </c>
      <c r="O138" s="6" t="str">
        <f>vlookup(B138,'SF Roster'!A:G,7,false)</f>
        <v>Committee Member</v>
      </c>
    </row>
    <row r="139" ht="15.75" customHeight="1">
      <c r="A139" s="1">
        <v>2041817.0</v>
      </c>
      <c r="B139" s="1" t="s">
        <v>659</v>
      </c>
      <c r="C139" s="1" t="s">
        <v>200</v>
      </c>
      <c r="D139" s="1" t="s">
        <v>660</v>
      </c>
      <c r="E139" s="1" t="s">
        <v>661</v>
      </c>
      <c r="F139" s="1" t="s">
        <v>19</v>
      </c>
      <c r="G139" s="1" t="s">
        <v>20</v>
      </c>
      <c r="H139" s="1" t="b">
        <v>1</v>
      </c>
      <c r="I139" s="1" t="s">
        <v>329</v>
      </c>
      <c r="J139" s="1" t="s">
        <v>662</v>
      </c>
      <c r="K139" s="1" t="s">
        <v>663</v>
      </c>
      <c r="L139" s="1" t="s">
        <v>664</v>
      </c>
      <c r="M139" s="5">
        <f t="array" ref="M139">XLOOKUP(C139&amp;D139, 'Yellow Jacket Fundraising 25-26'!$A$2:$A$112 &amp; 'Yellow Jacket Fundraising 25-26'!$B$2:$B$112, 'Yellow Jacket Fundraising 25-26'!$G$2:$G$112, "Not Found")</f>
        <v>13124</v>
      </c>
      <c r="N139" s="1" t="s">
        <v>630</v>
      </c>
      <c r="O139" s="6" t="str">
        <f>vlookup(B139,'SF Roster'!A:G,7,false)</f>
        <v>Committee Member</v>
      </c>
    </row>
    <row r="140" ht="15.75" customHeight="1">
      <c r="A140" s="1">
        <v>88984.0</v>
      </c>
      <c r="B140" s="1" t="s">
        <v>26</v>
      </c>
      <c r="C140" s="1" t="s">
        <v>186</v>
      </c>
      <c r="D140" s="1" t="s">
        <v>665</v>
      </c>
      <c r="E140" s="1" t="s">
        <v>666</v>
      </c>
      <c r="F140" s="1" t="s">
        <v>19</v>
      </c>
      <c r="H140" s="1" t="b">
        <v>0</v>
      </c>
      <c r="J140" s="1" t="s">
        <v>58</v>
      </c>
      <c r="K140" s="1" t="s">
        <v>58</v>
      </c>
      <c r="L140" s="1" t="s">
        <v>58</v>
      </c>
      <c r="M140" s="5" t="str">
        <f t="array" ref="M140">XLOOKUP(C140&amp;D140, 'Yellow Jacket Fundraising 25-26'!$A$2:$A$112 &amp; 'Yellow Jacket Fundraising 25-26'!$B$2:$B$112, 'Yellow Jacket Fundraising 25-26'!$G$2:$G$112, "Not Found")</f>
        <v>Not Found</v>
      </c>
      <c r="N140" s="1" t="s">
        <v>58</v>
      </c>
      <c r="O140" s="6" t="str">
        <f>vlookup(B140,'SF Roster'!A:G,7,false)</f>
        <v>#N/A</v>
      </c>
    </row>
    <row r="141" ht="15.75" customHeight="1">
      <c r="A141" s="1">
        <v>2044668.0</v>
      </c>
      <c r="B141" s="1" t="s">
        <v>26</v>
      </c>
      <c r="C141" s="1" t="s">
        <v>477</v>
      </c>
      <c r="D141" s="1" t="s">
        <v>665</v>
      </c>
      <c r="E141" s="1" t="s">
        <v>667</v>
      </c>
      <c r="F141" s="1" t="s">
        <v>19</v>
      </c>
      <c r="H141" s="1" t="b">
        <v>0</v>
      </c>
      <c r="J141" s="1" t="s">
        <v>58</v>
      </c>
      <c r="K141" s="1" t="s">
        <v>58</v>
      </c>
      <c r="L141" s="1" t="s">
        <v>58</v>
      </c>
      <c r="M141" s="5" t="str">
        <f t="array" ref="M141">XLOOKUP(C141&amp;D141, 'Yellow Jacket Fundraising 25-26'!$A$2:$A$112 &amp; 'Yellow Jacket Fundraising 25-26'!$B$2:$B$112, 'Yellow Jacket Fundraising 25-26'!$G$2:$G$112, "Not Found")</f>
        <v>Not Found</v>
      </c>
      <c r="N141" s="1" t="s">
        <v>58</v>
      </c>
      <c r="O141" s="6" t="str">
        <f>vlookup(B141,'SF Roster'!A:G,7,false)</f>
        <v>#N/A</v>
      </c>
    </row>
    <row r="142" ht="15.75" customHeight="1">
      <c r="A142" s="1">
        <v>2062818.0</v>
      </c>
      <c r="B142" s="1" t="s">
        <v>668</v>
      </c>
      <c r="C142" s="1" t="s">
        <v>140</v>
      </c>
      <c r="D142" s="1" t="s">
        <v>665</v>
      </c>
      <c r="E142" s="1" t="s">
        <v>669</v>
      </c>
      <c r="F142" s="1" t="s">
        <v>19</v>
      </c>
      <c r="G142" s="1" t="s">
        <v>20</v>
      </c>
      <c r="H142" s="1" t="b">
        <v>1</v>
      </c>
      <c r="I142" s="1" t="s">
        <v>49</v>
      </c>
      <c r="J142" s="1" t="s">
        <v>670</v>
      </c>
      <c r="K142" s="1" t="s">
        <v>671</v>
      </c>
      <c r="L142" s="1" t="s">
        <v>672</v>
      </c>
      <c r="M142" s="5">
        <f t="array" ref="M142">XLOOKUP(C142&amp;D142, 'Yellow Jacket Fundraising 25-26'!$A$2:$A$112 &amp; 'Yellow Jacket Fundraising 25-26'!$B$2:$B$112, 'Yellow Jacket Fundraising 25-26'!$G$2:$G$112, "Not Found")</f>
        <v>10327</v>
      </c>
      <c r="N142" s="1" t="s">
        <v>182</v>
      </c>
      <c r="O142" s="6" t="str">
        <f>vlookup(B142,'SF Roster'!A:G,7,false)</f>
        <v>Committee Member</v>
      </c>
    </row>
    <row r="143" ht="15.75" customHeight="1">
      <c r="A143" s="1">
        <v>31562.0</v>
      </c>
      <c r="B143" s="1" t="s">
        <v>673</v>
      </c>
      <c r="C143" s="1" t="s">
        <v>77</v>
      </c>
      <c r="D143" s="1" t="s">
        <v>674</v>
      </c>
      <c r="E143" s="1" t="s">
        <v>675</v>
      </c>
      <c r="F143" s="1" t="s">
        <v>19</v>
      </c>
      <c r="G143" s="1" t="s">
        <v>20</v>
      </c>
      <c r="H143" s="1" t="b">
        <v>1</v>
      </c>
      <c r="I143" s="1" t="s">
        <v>21</v>
      </c>
      <c r="J143" s="1" t="s">
        <v>676</v>
      </c>
      <c r="K143" s="1" t="s">
        <v>677</v>
      </c>
      <c r="L143" s="1" t="s">
        <v>678</v>
      </c>
      <c r="M143" s="5">
        <f t="array" ref="M143">XLOOKUP(C143&amp;D143, 'Yellow Jacket Fundraising 25-26'!$A$2:$A$112 &amp; 'Yellow Jacket Fundraising 25-26'!$B$2:$B$112, 'Yellow Jacket Fundraising 25-26'!$G$2:$G$112, "Not Found")</f>
        <v>27020</v>
      </c>
      <c r="N143" s="7">
        <v>40878.0</v>
      </c>
      <c r="O143" s="6" t="str">
        <f>vlookup(B143,'SF Roster'!A:G,7,false)</f>
        <v>Committee Member</v>
      </c>
    </row>
    <row r="144" ht="15.75" customHeight="1">
      <c r="A144" s="1">
        <v>2067354.0</v>
      </c>
      <c r="B144" s="1" t="s">
        <v>26</v>
      </c>
      <c r="C144" s="1" t="s">
        <v>679</v>
      </c>
      <c r="D144" s="1" t="s">
        <v>680</v>
      </c>
      <c r="E144" s="1" t="s">
        <v>681</v>
      </c>
      <c r="F144" s="1" t="s">
        <v>56</v>
      </c>
      <c r="G144" s="1" t="s">
        <v>88</v>
      </c>
      <c r="H144" s="1" t="b">
        <v>1</v>
      </c>
      <c r="J144" s="1" t="s">
        <v>58</v>
      </c>
      <c r="K144" s="1" t="s">
        <v>58</v>
      </c>
      <c r="L144" s="1" t="s">
        <v>58</v>
      </c>
      <c r="M144" s="5" t="str">
        <f t="array" ref="M144">XLOOKUP(C144&amp;D144, 'Yellow Jacket Fundraising 25-26'!$A$2:$A$112 &amp; 'Yellow Jacket Fundraising 25-26'!$B$2:$B$112, 'Yellow Jacket Fundraising 25-26'!$G$2:$G$112, "Not Found")</f>
        <v>Not Found</v>
      </c>
      <c r="N144" s="1" t="s">
        <v>58</v>
      </c>
      <c r="O144" s="6" t="str">
        <f>vlookup(B144,'SF Roster'!A:G,7,false)</f>
        <v>#N/A</v>
      </c>
    </row>
    <row r="145" ht="15.75" customHeight="1">
      <c r="A145" s="1">
        <v>2138139.0</v>
      </c>
      <c r="B145" s="1" t="s">
        <v>682</v>
      </c>
      <c r="C145" s="1" t="s">
        <v>683</v>
      </c>
      <c r="D145" s="1" t="s">
        <v>684</v>
      </c>
      <c r="E145" s="1" t="s">
        <v>685</v>
      </c>
      <c r="F145" s="1" t="s">
        <v>19</v>
      </c>
      <c r="G145" s="1" t="s">
        <v>30</v>
      </c>
      <c r="H145" s="1" t="b">
        <v>1</v>
      </c>
      <c r="I145" s="1" t="s">
        <v>122</v>
      </c>
      <c r="J145" s="1" t="s">
        <v>686</v>
      </c>
      <c r="K145" s="1" t="s">
        <v>687</v>
      </c>
      <c r="L145" s="1" t="s">
        <v>688</v>
      </c>
      <c r="M145" s="5" t="str">
        <f t="array" ref="M145">XLOOKUP(C145&amp;D145, 'Yellow Jacket Fundraising 25-26'!$A$2:$A$112 &amp; 'Yellow Jacket Fundraising 25-26'!$B$2:$B$112, 'Yellow Jacket Fundraising 25-26'!$G$2:$G$112, "Not Found")</f>
        <v>Future</v>
      </c>
      <c r="N145" s="1" t="s">
        <v>35</v>
      </c>
      <c r="O145" s="6" t="str">
        <f>vlookup(B145,'SF Roster'!A:G,7,false)</f>
        <v>Fiesta Future</v>
      </c>
    </row>
    <row r="146" ht="15.75" customHeight="1">
      <c r="A146" s="1">
        <v>2041853.0</v>
      </c>
      <c r="B146" s="1" t="s">
        <v>689</v>
      </c>
      <c r="C146" s="1" t="s">
        <v>690</v>
      </c>
      <c r="D146" s="1" t="s">
        <v>691</v>
      </c>
      <c r="E146" s="1" t="s">
        <v>692</v>
      </c>
      <c r="F146" s="1" t="s">
        <v>19</v>
      </c>
      <c r="G146" s="1" t="s">
        <v>20</v>
      </c>
      <c r="H146" s="1" t="b">
        <v>1</v>
      </c>
      <c r="I146" s="1" t="s">
        <v>217</v>
      </c>
      <c r="J146" s="1" t="s">
        <v>693</v>
      </c>
      <c r="K146" s="1" t="s">
        <v>694</v>
      </c>
      <c r="L146" s="1" t="s">
        <v>695</v>
      </c>
      <c r="M146" s="5">
        <f t="array" ref="M146">XLOOKUP(C146&amp;D146, 'Yellow Jacket Fundraising 25-26'!$A$2:$A$112 &amp; 'Yellow Jacket Fundraising 25-26'!$B$2:$B$112, 'Yellow Jacket Fundraising 25-26'!$G$2:$G$112, "Not Found")</f>
        <v>8500</v>
      </c>
      <c r="N146" s="1" t="s">
        <v>152</v>
      </c>
      <c r="O146" s="6" t="str">
        <f>vlookup(B146,'SF Roster'!A:G,7,false)</f>
        <v>Committee Member</v>
      </c>
    </row>
    <row r="147" ht="15.75" customHeight="1">
      <c r="A147" s="1">
        <v>2138140.0</v>
      </c>
      <c r="B147" s="1" t="s">
        <v>26</v>
      </c>
      <c r="C147" s="1" t="s">
        <v>696</v>
      </c>
      <c r="D147" s="1" t="s">
        <v>697</v>
      </c>
      <c r="E147" s="1" t="s">
        <v>698</v>
      </c>
      <c r="F147" s="1" t="s">
        <v>19</v>
      </c>
      <c r="G147" s="1" t="s">
        <v>30</v>
      </c>
      <c r="H147" s="1" t="b">
        <v>1</v>
      </c>
      <c r="I147" s="1" t="s">
        <v>99</v>
      </c>
      <c r="J147" s="1" t="s">
        <v>699</v>
      </c>
      <c r="K147" s="1" t="s">
        <v>700</v>
      </c>
      <c r="L147" s="1" t="s">
        <v>701</v>
      </c>
      <c r="M147" s="5" t="str">
        <f t="array" ref="M147">XLOOKUP(C147&amp;D147, 'Yellow Jacket Fundraising 25-26'!$A$2:$A$112 &amp; 'Yellow Jacket Fundraising 25-26'!$B$2:$B$112, 'Yellow Jacket Fundraising 25-26'!$G$2:$G$112, "Not Found")</f>
        <v>Future</v>
      </c>
      <c r="N147" s="1" t="s">
        <v>35</v>
      </c>
      <c r="O147" s="6" t="str">
        <f>vlookup(B147,'SF Roster'!A:G,7,false)</f>
        <v>#N/A</v>
      </c>
    </row>
    <row r="148" ht="15.75" customHeight="1">
      <c r="A148" s="1">
        <v>2095097.0</v>
      </c>
      <c r="B148" s="1" t="s">
        <v>26</v>
      </c>
      <c r="C148" s="1" t="s">
        <v>702</v>
      </c>
      <c r="D148" s="1" t="s">
        <v>703</v>
      </c>
      <c r="E148" s="1" t="s">
        <v>704</v>
      </c>
      <c r="F148" s="1" t="s">
        <v>19</v>
      </c>
      <c r="H148" s="1" t="b">
        <v>0</v>
      </c>
      <c r="J148" s="1" t="s">
        <v>58</v>
      </c>
      <c r="K148" s="1" t="s">
        <v>58</v>
      </c>
      <c r="L148" s="1" t="s">
        <v>58</v>
      </c>
      <c r="M148" s="5" t="str">
        <f t="array" ref="M148">XLOOKUP(C148&amp;D148, 'Yellow Jacket Fundraising 25-26'!$A$2:$A$112 &amp; 'Yellow Jacket Fundraising 25-26'!$B$2:$B$112, 'Yellow Jacket Fundraising 25-26'!$G$2:$G$112, "Not Found")</f>
        <v>Not Found</v>
      </c>
      <c r="N148" s="1" t="s">
        <v>58</v>
      </c>
      <c r="O148" s="6" t="str">
        <f>vlookup(B148,'SF Roster'!A:G,7,false)</f>
        <v>#N/A</v>
      </c>
    </row>
    <row r="149" ht="15.75" customHeight="1">
      <c r="A149" s="1">
        <v>2041779.0</v>
      </c>
      <c r="B149" s="1" t="s">
        <v>26</v>
      </c>
      <c r="C149" s="1" t="s">
        <v>579</v>
      </c>
      <c r="D149" s="1" t="s">
        <v>705</v>
      </c>
      <c r="E149" s="1" t="s">
        <v>706</v>
      </c>
      <c r="F149" s="1" t="s">
        <v>56</v>
      </c>
      <c r="G149" s="1" t="s">
        <v>88</v>
      </c>
      <c r="H149" s="1" t="b">
        <v>1</v>
      </c>
      <c r="J149" s="1" t="s">
        <v>58</v>
      </c>
      <c r="K149" s="1" t="s">
        <v>58</v>
      </c>
      <c r="L149" s="1" t="s">
        <v>58</v>
      </c>
      <c r="M149" s="5" t="str">
        <f t="array" ref="M149">XLOOKUP(C149&amp;D149, 'Yellow Jacket Fundraising 25-26'!$A$2:$A$112 &amp; 'Yellow Jacket Fundraising 25-26'!$B$2:$B$112, 'Yellow Jacket Fundraising 25-26'!$G$2:$G$112, "Not Found")</f>
        <v>Not Found</v>
      </c>
      <c r="N149" s="1" t="s">
        <v>58</v>
      </c>
      <c r="O149" s="6" t="str">
        <f>vlookup(B149,'SF Roster'!A:G,7,false)</f>
        <v>#N/A</v>
      </c>
    </row>
    <row r="150" ht="15.75" customHeight="1">
      <c r="A150" s="1">
        <v>2041786.0</v>
      </c>
      <c r="B150" s="1" t="s">
        <v>707</v>
      </c>
      <c r="C150" s="1" t="s">
        <v>119</v>
      </c>
      <c r="D150" s="1" t="s">
        <v>708</v>
      </c>
      <c r="E150" s="1" t="s">
        <v>709</v>
      </c>
      <c r="F150" s="1" t="s">
        <v>19</v>
      </c>
      <c r="G150" s="1" t="s">
        <v>20</v>
      </c>
      <c r="H150" s="1" t="b">
        <v>1</v>
      </c>
      <c r="I150" s="1" t="s">
        <v>257</v>
      </c>
      <c r="J150" s="1" t="s">
        <v>710</v>
      </c>
      <c r="K150" s="1" t="s">
        <v>711</v>
      </c>
      <c r="L150" s="1" t="s">
        <v>712</v>
      </c>
      <c r="M150" s="5">
        <f t="array" ref="M150">XLOOKUP(C150&amp;D150, 'Yellow Jacket Fundraising 25-26'!$A$2:$A$112 &amp; 'Yellow Jacket Fundraising 25-26'!$B$2:$B$112, 'Yellow Jacket Fundraising 25-26'!$G$2:$G$112, "Not Found")</f>
        <v>36076</v>
      </c>
      <c r="N150" s="1" t="s">
        <v>324</v>
      </c>
      <c r="O150" s="6" t="str">
        <f>vlookup(B150,'SF Roster'!A:G,7,false)</f>
        <v>Committee Member</v>
      </c>
    </row>
    <row r="151" ht="15.75" customHeight="1">
      <c r="A151" s="1">
        <v>2041818.0</v>
      </c>
      <c r="B151" s="1" t="s">
        <v>713</v>
      </c>
      <c r="C151" s="1" t="s">
        <v>714</v>
      </c>
      <c r="D151" s="1" t="s">
        <v>715</v>
      </c>
      <c r="E151" s="1" t="s">
        <v>716</v>
      </c>
      <c r="F151" s="1" t="s">
        <v>19</v>
      </c>
      <c r="G151" s="1" t="s">
        <v>20</v>
      </c>
      <c r="H151" s="1" t="b">
        <v>1</v>
      </c>
      <c r="I151" s="1" t="s">
        <v>217</v>
      </c>
      <c r="J151" s="1" t="s">
        <v>717</v>
      </c>
      <c r="K151" s="1" t="s">
        <v>718</v>
      </c>
      <c r="L151" s="1" t="s">
        <v>719</v>
      </c>
      <c r="M151" s="5">
        <f t="array" ref="M151">XLOOKUP(C151&amp;D151, 'Yellow Jacket Fundraising 25-26'!$A$2:$A$112 &amp; 'Yellow Jacket Fundraising 25-26'!$B$2:$B$112, 'Yellow Jacket Fundraising 25-26'!$G$2:$G$112, "Not Found")</f>
        <v>17025</v>
      </c>
      <c r="N151" s="1" t="s">
        <v>25</v>
      </c>
      <c r="O151" s="6" t="str">
        <f>vlookup(B151,'SF Roster'!A:G,7,false)</f>
        <v>Committee Member</v>
      </c>
    </row>
    <row r="152" ht="15.75" customHeight="1">
      <c r="A152" s="1">
        <v>2095098.0</v>
      </c>
      <c r="B152" s="1" t="s">
        <v>720</v>
      </c>
      <c r="C152" s="1" t="s">
        <v>721</v>
      </c>
      <c r="D152" s="1" t="s">
        <v>722</v>
      </c>
      <c r="E152" s="1" t="s">
        <v>723</v>
      </c>
      <c r="F152" s="1" t="s">
        <v>19</v>
      </c>
      <c r="G152" s="1" t="s">
        <v>20</v>
      </c>
      <c r="H152" s="1" t="b">
        <v>1</v>
      </c>
      <c r="I152" s="1" t="s">
        <v>72</v>
      </c>
      <c r="J152" s="1" t="s">
        <v>724</v>
      </c>
      <c r="K152" s="1" t="s">
        <v>725</v>
      </c>
      <c r="L152" s="1" t="s">
        <v>726</v>
      </c>
      <c r="M152" s="5">
        <f t="array" ref="M152">XLOOKUP(C152&amp;D152, 'Yellow Jacket Fundraising 25-26'!$A$2:$A$112 &amp; 'Yellow Jacket Fundraising 25-26'!$B$2:$B$112, 'Yellow Jacket Fundraising 25-26'!$G$2:$G$112, "Not Found")</f>
        <v>20975</v>
      </c>
      <c r="N152" s="1" t="s">
        <v>213</v>
      </c>
      <c r="O152" s="6" t="str">
        <f>vlookup(B152,'SF Roster'!A:G,7,false)</f>
        <v>Committee Member</v>
      </c>
    </row>
    <row r="153" ht="15.75" customHeight="1">
      <c r="A153" s="1">
        <v>2045106.0</v>
      </c>
      <c r="B153" s="1" t="s">
        <v>26</v>
      </c>
      <c r="C153" s="1" t="s">
        <v>89</v>
      </c>
      <c r="D153" s="1" t="s">
        <v>727</v>
      </c>
      <c r="E153" s="1" t="s">
        <v>728</v>
      </c>
      <c r="F153" s="1" t="s">
        <v>56</v>
      </c>
      <c r="G153" s="1" t="s">
        <v>88</v>
      </c>
      <c r="H153" s="1" t="b">
        <v>1</v>
      </c>
      <c r="J153" s="1" t="s">
        <v>58</v>
      </c>
      <c r="K153" s="1" t="s">
        <v>58</v>
      </c>
      <c r="L153" s="1" t="s">
        <v>58</v>
      </c>
      <c r="M153" s="5" t="str">
        <f t="array" ref="M153">XLOOKUP(C153&amp;D153, 'Yellow Jacket Fundraising 25-26'!$A$2:$A$112 &amp; 'Yellow Jacket Fundraising 25-26'!$B$2:$B$112, 'Yellow Jacket Fundraising 25-26'!$G$2:$G$112, "Not Found")</f>
        <v>Not Found</v>
      </c>
      <c r="N153" s="1" t="s">
        <v>58</v>
      </c>
      <c r="O153" s="6" t="str">
        <f>vlookup(B153,'SF Roster'!A:G,7,false)</f>
        <v>#N/A</v>
      </c>
    </row>
    <row r="154" ht="15.75" customHeight="1">
      <c r="A154" s="1">
        <v>2041792.0</v>
      </c>
      <c r="B154" s="1" t="s">
        <v>26</v>
      </c>
      <c r="C154" s="1" t="s">
        <v>729</v>
      </c>
      <c r="D154" s="1" t="s">
        <v>730</v>
      </c>
      <c r="E154" s="1" t="s">
        <v>731</v>
      </c>
      <c r="F154" s="1" t="s">
        <v>19</v>
      </c>
      <c r="G154" s="1" t="s">
        <v>20</v>
      </c>
      <c r="H154" s="2" t="b">
        <v>0</v>
      </c>
      <c r="J154" s="1" t="s">
        <v>58</v>
      </c>
      <c r="K154" s="1" t="s">
        <v>58</v>
      </c>
      <c r="L154" s="1" t="s">
        <v>58</v>
      </c>
      <c r="M154" s="5" t="str">
        <f t="array" ref="M154">XLOOKUP(C154&amp;D154, 'Yellow Jacket Fundraising 25-26'!$A$2:$A$112 &amp; 'Yellow Jacket Fundraising 25-26'!$B$2:$B$112, 'Yellow Jacket Fundraising 25-26'!$G$2:$G$112, "Not Found")</f>
        <v>Not Found</v>
      </c>
      <c r="N154" s="1" t="s">
        <v>58</v>
      </c>
      <c r="O154" s="6" t="str">
        <f>vlookup(B154,'SF Roster'!A:G,7,false)</f>
        <v>#N/A</v>
      </c>
    </row>
    <row r="155" ht="15.75" customHeight="1">
      <c r="A155" s="1">
        <v>2044807.0</v>
      </c>
      <c r="B155" s="1" t="s">
        <v>732</v>
      </c>
      <c r="C155" s="1" t="s">
        <v>733</v>
      </c>
      <c r="D155" s="1" t="s">
        <v>730</v>
      </c>
      <c r="E155" s="1" t="s">
        <v>734</v>
      </c>
      <c r="F155" s="1" t="s">
        <v>19</v>
      </c>
      <c r="G155" s="1" t="s">
        <v>20</v>
      </c>
      <c r="H155" s="1" t="b">
        <v>1</v>
      </c>
      <c r="I155" s="1" t="s">
        <v>21</v>
      </c>
      <c r="J155" s="1" t="s">
        <v>735</v>
      </c>
      <c r="K155" s="1" t="s">
        <v>736</v>
      </c>
      <c r="L155" s="1" t="s">
        <v>737</v>
      </c>
      <c r="M155" s="5">
        <f t="array" ref="M155">XLOOKUP(C155&amp;D155, 'Yellow Jacket Fundraising 25-26'!$A$2:$A$112 &amp; 'Yellow Jacket Fundraising 25-26'!$B$2:$B$112, 'Yellow Jacket Fundraising 25-26'!$G$2:$G$112, "Not Found")</f>
        <v>59421</v>
      </c>
      <c r="N155" s="1" t="s">
        <v>114</v>
      </c>
      <c r="O155" s="6" t="str">
        <f>vlookup(B155,'SF Roster'!A:G,7,false)</f>
        <v>Committee Member</v>
      </c>
    </row>
    <row r="156" ht="15.75" customHeight="1">
      <c r="A156" s="1">
        <v>2062819.0</v>
      </c>
      <c r="B156" s="1" t="s">
        <v>738</v>
      </c>
      <c r="C156" s="1" t="s">
        <v>739</v>
      </c>
      <c r="D156" s="1" t="s">
        <v>740</v>
      </c>
      <c r="E156" s="1" t="s">
        <v>741</v>
      </c>
      <c r="F156" s="1" t="s">
        <v>19</v>
      </c>
      <c r="G156" s="1" t="s">
        <v>20</v>
      </c>
      <c r="H156" s="1" t="b">
        <v>1</v>
      </c>
      <c r="I156" s="1" t="s">
        <v>49</v>
      </c>
      <c r="J156" s="1" t="s">
        <v>742</v>
      </c>
      <c r="K156" s="1" t="s">
        <v>743</v>
      </c>
      <c r="L156" s="1" t="s">
        <v>744</v>
      </c>
      <c r="M156" s="5">
        <f t="array" ref="M156">XLOOKUP(C156&amp;D156, 'Yellow Jacket Fundraising 25-26'!$A$2:$A$112 &amp; 'Yellow Jacket Fundraising 25-26'!$B$2:$B$112, 'Yellow Jacket Fundraising 25-26'!$G$2:$G$112, "Not Found")</f>
        <v>15070</v>
      </c>
      <c r="N156" s="1" t="s">
        <v>182</v>
      </c>
      <c r="O156" s="6" t="str">
        <f>vlookup(B156,'SF Roster'!A:G,7,false)</f>
        <v>Committee Member</v>
      </c>
    </row>
    <row r="157" ht="15.75" customHeight="1">
      <c r="A157" s="1">
        <v>2041844.0</v>
      </c>
      <c r="B157" s="1" t="s">
        <v>745</v>
      </c>
      <c r="C157" s="1" t="s">
        <v>140</v>
      </c>
      <c r="D157" s="1" t="s">
        <v>746</v>
      </c>
      <c r="E157" s="1" t="s">
        <v>747</v>
      </c>
      <c r="F157" s="1" t="s">
        <v>19</v>
      </c>
      <c r="G157" s="1" t="s">
        <v>20</v>
      </c>
      <c r="H157" s="1" t="b">
        <v>1</v>
      </c>
      <c r="I157" s="1" t="s">
        <v>110</v>
      </c>
      <c r="J157" s="1" t="s">
        <v>748</v>
      </c>
      <c r="K157" s="1" t="s">
        <v>749</v>
      </c>
      <c r="L157" s="1" t="s">
        <v>750</v>
      </c>
      <c r="M157" s="5">
        <f t="array" ref="M157">XLOOKUP(C157&amp;D157, 'Yellow Jacket Fundraising 25-26'!$A$2:$A$112 &amp; 'Yellow Jacket Fundraising 25-26'!$B$2:$B$112, 'Yellow Jacket Fundraising 25-26'!$G$2:$G$112, "Not Found")</f>
        <v>187484</v>
      </c>
      <c r="N157" s="1" t="s">
        <v>76</v>
      </c>
      <c r="O157" s="6" t="str">
        <f>vlookup(B157,'SF Roster'!A:G,7,false)</f>
        <v>Committee Member</v>
      </c>
    </row>
    <row r="158" ht="15.75" customHeight="1">
      <c r="A158" s="1">
        <v>2041781.0</v>
      </c>
      <c r="B158" s="1" t="s">
        <v>26</v>
      </c>
      <c r="C158" s="1" t="s">
        <v>751</v>
      </c>
      <c r="D158" s="1" t="s">
        <v>752</v>
      </c>
      <c r="E158" s="1" t="s">
        <v>753</v>
      </c>
      <c r="F158" s="1" t="s">
        <v>56</v>
      </c>
      <c r="G158" s="1" t="s">
        <v>57</v>
      </c>
      <c r="H158" s="1" t="b">
        <v>1</v>
      </c>
      <c r="J158" s="1" t="s">
        <v>58</v>
      </c>
      <c r="K158" s="1" t="s">
        <v>58</v>
      </c>
      <c r="L158" s="1" t="s">
        <v>58</v>
      </c>
      <c r="M158" s="5" t="str">
        <f t="array" ref="M158">XLOOKUP(C158&amp;D158, 'Yellow Jacket Fundraising 25-26'!$A$2:$A$112 &amp; 'Yellow Jacket Fundraising 25-26'!$B$2:$B$112, 'Yellow Jacket Fundraising 25-26'!$G$2:$G$112, "Not Found")</f>
        <v>Not Found</v>
      </c>
      <c r="N158" s="1" t="s">
        <v>58</v>
      </c>
      <c r="O158" s="6" t="str">
        <f>vlookup(B158,'SF Roster'!A:G,7,false)</f>
        <v>#N/A</v>
      </c>
    </row>
    <row r="159" ht="15.75" customHeight="1">
      <c r="A159" s="1">
        <v>2062820.0</v>
      </c>
      <c r="B159" s="1" t="s">
        <v>754</v>
      </c>
      <c r="C159" s="1" t="s">
        <v>77</v>
      </c>
      <c r="D159" s="1" t="s">
        <v>755</v>
      </c>
      <c r="E159" s="1" t="s">
        <v>756</v>
      </c>
      <c r="F159" s="1" t="s">
        <v>19</v>
      </c>
      <c r="G159" s="1" t="s">
        <v>20</v>
      </c>
      <c r="H159" s="1" t="b">
        <v>1</v>
      </c>
      <c r="I159" s="1" t="s">
        <v>40</v>
      </c>
      <c r="J159" s="1" t="s">
        <v>757</v>
      </c>
      <c r="K159" s="1" t="s">
        <v>758</v>
      </c>
      <c r="L159" s="1" t="s">
        <v>759</v>
      </c>
      <c r="M159" s="5">
        <f t="array" ref="M159">XLOOKUP(C159&amp;D159, 'Yellow Jacket Fundraising 25-26'!$A$2:$A$112 &amp; 'Yellow Jacket Fundraising 25-26'!$B$2:$B$112, 'Yellow Jacket Fundraising 25-26'!$G$2:$G$112, "Not Found")</f>
        <v>4000</v>
      </c>
      <c r="N159" s="1" t="s">
        <v>182</v>
      </c>
      <c r="O159" s="6" t="str">
        <f>vlookup(B159,'SF Roster'!A:G,7,false)</f>
        <v>Committee Member</v>
      </c>
    </row>
    <row r="160" ht="15.75" customHeight="1">
      <c r="A160" s="1">
        <v>2041819.0</v>
      </c>
      <c r="B160" s="1" t="s">
        <v>26</v>
      </c>
      <c r="C160" s="1" t="s">
        <v>287</v>
      </c>
      <c r="D160" s="1" t="s">
        <v>760</v>
      </c>
      <c r="E160" s="1" t="s">
        <v>761</v>
      </c>
      <c r="F160" s="1" t="s">
        <v>56</v>
      </c>
      <c r="G160" s="1" t="s">
        <v>88</v>
      </c>
      <c r="H160" s="1" t="b">
        <v>1</v>
      </c>
      <c r="J160" s="1" t="s">
        <v>58</v>
      </c>
      <c r="K160" s="1" t="s">
        <v>58</v>
      </c>
      <c r="L160" s="1" t="s">
        <v>58</v>
      </c>
      <c r="M160" s="5" t="str">
        <f t="array" ref="M160">XLOOKUP(C160&amp;D160, 'Yellow Jacket Fundraising 25-26'!$A$2:$A$112 &amp; 'Yellow Jacket Fundraising 25-26'!$B$2:$B$112, 'Yellow Jacket Fundraising 25-26'!$G$2:$G$112, "Not Found")</f>
        <v>Not Found</v>
      </c>
      <c r="N160" s="1" t="s">
        <v>58</v>
      </c>
      <c r="O160" s="6" t="str">
        <f>vlookup(B160,'SF Roster'!A:G,7,false)</f>
        <v>#N/A</v>
      </c>
    </row>
    <row r="161" ht="15.75" customHeight="1">
      <c r="A161" s="1">
        <v>97036.0</v>
      </c>
      <c r="B161" s="1" t="s">
        <v>26</v>
      </c>
      <c r="C161" s="1" t="s">
        <v>77</v>
      </c>
      <c r="D161" s="1" t="s">
        <v>762</v>
      </c>
      <c r="E161" s="1" t="s">
        <v>763</v>
      </c>
      <c r="F161" s="1" t="s">
        <v>19</v>
      </c>
      <c r="H161" s="1" t="b">
        <v>0</v>
      </c>
      <c r="J161" s="1" t="s">
        <v>58</v>
      </c>
      <c r="K161" s="1" t="s">
        <v>58</v>
      </c>
      <c r="L161" s="1" t="s">
        <v>58</v>
      </c>
      <c r="M161" s="5" t="str">
        <f t="array" ref="M161">XLOOKUP(C161&amp;D161, 'Yellow Jacket Fundraising 25-26'!$A$2:$A$112 &amp; 'Yellow Jacket Fundraising 25-26'!$B$2:$B$112, 'Yellow Jacket Fundraising 25-26'!$G$2:$G$112, "Not Found")</f>
        <v>Not Found</v>
      </c>
      <c r="N161" s="1" t="s">
        <v>58</v>
      </c>
      <c r="O161" s="6" t="str">
        <f>vlookup(B161,'SF Roster'!A:G,7,false)</f>
        <v>#N/A</v>
      </c>
    </row>
    <row r="162" ht="15.75" customHeight="1">
      <c r="A162" s="1">
        <v>2095203.0</v>
      </c>
      <c r="B162" s="1" t="s">
        <v>26</v>
      </c>
      <c r="C162" s="1" t="s">
        <v>764</v>
      </c>
      <c r="D162" s="1" t="s">
        <v>765</v>
      </c>
      <c r="E162" s="1" t="s">
        <v>766</v>
      </c>
      <c r="F162" s="1" t="s">
        <v>80</v>
      </c>
      <c r="G162" s="1" t="s">
        <v>81</v>
      </c>
      <c r="H162" s="1" t="b">
        <v>1</v>
      </c>
      <c r="J162" s="1" t="s">
        <v>58</v>
      </c>
      <c r="K162" s="1" t="s">
        <v>58</v>
      </c>
      <c r="L162" s="1" t="s">
        <v>58</v>
      </c>
      <c r="M162" s="5" t="str">
        <f t="array" ref="M162">XLOOKUP(C162&amp;D162, 'Yellow Jacket Fundraising 25-26'!$A$2:$A$112 &amp; 'Yellow Jacket Fundraising 25-26'!$B$2:$B$112, 'Yellow Jacket Fundraising 25-26'!$G$2:$G$112, "Not Found")</f>
        <v>Not Found</v>
      </c>
      <c r="N162" s="1" t="s">
        <v>58</v>
      </c>
      <c r="O162" s="6" t="str">
        <f>vlookup(B162,'SF Roster'!A:G,7,false)</f>
        <v>#N/A</v>
      </c>
    </row>
    <row r="163" ht="15.75" customHeight="1">
      <c r="A163" s="1">
        <v>2041784.0</v>
      </c>
      <c r="B163" s="1" t="s">
        <v>767</v>
      </c>
      <c r="C163" s="1" t="s">
        <v>768</v>
      </c>
      <c r="D163" s="1" t="s">
        <v>769</v>
      </c>
      <c r="E163" s="1" t="s">
        <v>770</v>
      </c>
      <c r="F163" s="1" t="s">
        <v>19</v>
      </c>
      <c r="G163" s="1" t="s">
        <v>20</v>
      </c>
      <c r="H163" s="1" t="b">
        <v>1</v>
      </c>
      <c r="I163" s="1" t="s">
        <v>21</v>
      </c>
      <c r="J163" s="1" t="s">
        <v>771</v>
      </c>
      <c r="K163" s="1" t="s">
        <v>772</v>
      </c>
      <c r="L163" s="1" t="s">
        <v>773</v>
      </c>
      <c r="M163" s="5">
        <f t="array" ref="M163">XLOOKUP(C163&amp;D163, 'Yellow Jacket Fundraising 25-26'!$A$2:$A$112 &amp; 'Yellow Jacket Fundraising 25-26'!$B$2:$B$112, 'Yellow Jacket Fundraising 25-26'!$G$2:$G$112, "Not Found")</f>
        <v>13074</v>
      </c>
      <c r="N163" s="1" t="s">
        <v>44</v>
      </c>
      <c r="O163" s="6" t="str">
        <f>vlookup(B163,'SF Roster'!A:G,7,false)</f>
        <v>Committee Member</v>
      </c>
    </row>
    <row r="164" ht="15.75" customHeight="1">
      <c r="A164" s="1">
        <v>2044808.0</v>
      </c>
      <c r="B164" s="1" t="s">
        <v>774</v>
      </c>
      <c r="C164" s="1" t="s">
        <v>235</v>
      </c>
      <c r="D164" s="1" t="s">
        <v>775</v>
      </c>
      <c r="E164" s="1" t="s">
        <v>776</v>
      </c>
      <c r="F164" s="1" t="s">
        <v>19</v>
      </c>
      <c r="G164" s="1" t="s">
        <v>20</v>
      </c>
      <c r="H164" s="1" t="b">
        <v>1</v>
      </c>
      <c r="I164" s="1" t="s">
        <v>110</v>
      </c>
      <c r="J164" s="1" t="s">
        <v>777</v>
      </c>
      <c r="K164" s="1" t="s">
        <v>778</v>
      </c>
      <c r="L164" s="1" t="s">
        <v>779</v>
      </c>
      <c r="M164" s="5">
        <f t="array" ref="M164">XLOOKUP(C164&amp;D164, 'Yellow Jacket Fundraising 25-26'!$A$2:$A$112 &amp; 'Yellow Jacket Fundraising 25-26'!$B$2:$B$112, 'Yellow Jacket Fundraising 25-26'!$G$2:$G$112, "Not Found")</f>
        <v>7610</v>
      </c>
      <c r="N164" s="1" t="s">
        <v>114</v>
      </c>
      <c r="O164" s="6" t="str">
        <f>vlookup(B164,'SF Roster'!A:G,7,false)</f>
        <v>Committee Member</v>
      </c>
    </row>
    <row r="165" ht="15.75" customHeight="1">
      <c r="A165" s="1">
        <v>2041803.0</v>
      </c>
      <c r="B165" s="1" t="s">
        <v>26</v>
      </c>
      <c r="C165" s="1" t="s">
        <v>780</v>
      </c>
      <c r="D165" s="1" t="s">
        <v>781</v>
      </c>
      <c r="E165" s="1" t="s">
        <v>782</v>
      </c>
      <c r="F165" s="1" t="s">
        <v>80</v>
      </c>
      <c r="G165" s="1" t="s">
        <v>81</v>
      </c>
      <c r="H165" s="1" t="b">
        <v>1</v>
      </c>
      <c r="J165" s="1" t="s">
        <v>58</v>
      </c>
      <c r="K165" s="1" t="s">
        <v>58</v>
      </c>
      <c r="L165" s="1" t="s">
        <v>58</v>
      </c>
      <c r="M165" s="5" t="str">
        <f t="array" ref="M165">XLOOKUP(C165&amp;D165, 'Yellow Jacket Fundraising 25-26'!$A$2:$A$112 &amp; 'Yellow Jacket Fundraising 25-26'!$B$2:$B$112, 'Yellow Jacket Fundraising 25-26'!$G$2:$G$112, "Not Found")</f>
        <v>Not Found</v>
      </c>
      <c r="N165" s="1" t="s">
        <v>58</v>
      </c>
      <c r="O165" s="6" t="str">
        <f>vlookup(B165,'SF Roster'!A:G,7,false)</f>
        <v>#N/A</v>
      </c>
    </row>
    <row r="166" ht="15.75" customHeight="1">
      <c r="A166" s="1">
        <v>2041845.0</v>
      </c>
      <c r="B166" s="1" t="s">
        <v>783</v>
      </c>
      <c r="C166" s="1" t="s">
        <v>784</v>
      </c>
      <c r="D166" s="1" t="s">
        <v>781</v>
      </c>
      <c r="E166" s="1" t="s">
        <v>785</v>
      </c>
      <c r="F166" s="1" t="s">
        <v>19</v>
      </c>
      <c r="G166" s="1" t="s">
        <v>20</v>
      </c>
      <c r="H166" s="1" t="b">
        <v>1</v>
      </c>
      <c r="I166" s="1" t="s">
        <v>257</v>
      </c>
      <c r="J166" s="1" t="s">
        <v>786</v>
      </c>
      <c r="K166" s="1" t="s">
        <v>787</v>
      </c>
      <c r="L166" s="1" t="s">
        <v>788</v>
      </c>
      <c r="M166" s="5">
        <f t="array" ref="M166">XLOOKUP(C166&amp;D166, 'Yellow Jacket Fundraising 25-26'!$A$2:$A$112 &amp; 'Yellow Jacket Fundraising 25-26'!$B$2:$B$112, 'Yellow Jacket Fundraising 25-26'!$G$2:$G$112, "Not Found")</f>
        <v>22922</v>
      </c>
      <c r="N166" s="1" t="s">
        <v>789</v>
      </c>
      <c r="O166" s="6" t="str">
        <f>vlookup(B166,'SF Roster'!A:G,7,false)</f>
        <v>Committee Member</v>
      </c>
    </row>
    <row r="167" ht="15.75" customHeight="1">
      <c r="A167" s="1">
        <v>2041846.0</v>
      </c>
      <c r="B167" s="1" t="s">
        <v>790</v>
      </c>
      <c r="C167" s="1" t="s">
        <v>791</v>
      </c>
      <c r="D167" s="1" t="s">
        <v>792</v>
      </c>
      <c r="E167" s="1" t="s">
        <v>793</v>
      </c>
      <c r="F167" s="1" t="s">
        <v>19</v>
      </c>
      <c r="G167" s="1" t="s">
        <v>20</v>
      </c>
      <c r="H167" s="1" t="b">
        <v>1</v>
      </c>
      <c r="J167" s="1" t="s">
        <v>794</v>
      </c>
      <c r="K167" s="1" t="s">
        <v>795</v>
      </c>
      <c r="L167" s="1" t="s">
        <v>796</v>
      </c>
      <c r="M167" s="5">
        <f t="array" ref="M167">XLOOKUP(C167&amp;D167, 'Yellow Jacket Fundraising 25-26'!$A$2:$A$112 &amp; 'Yellow Jacket Fundraising 25-26'!$B$2:$B$112, 'Yellow Jacket Fundraising 25-26'!$G$2:$G$112, "Not Found")</f>
        <v>730</v>
      </c>
      <c r="N167" s="1" t="s">
        <v>25</v>
      </c>
      <c r="O167" s="6" t="str">
        <f>vlookup(B167,'SF Roster'!A:G,7,false)</f>
        <v>Committee Member</v>
      </c>
    </row>
    <row r="168" ht="15.75" customHeight="1">
      <c r="A168" s="1">
        <v>2095099.0</v>
      </c>
      <c r="B168" s="1" t="s">
        <v>797</v>
      </c>
      <c r="C168" s="1" t="s">
        <v>119</v>
      </c>
      <c r="D168" s="1" t="s">
        <v>798</v>
      </c>
      <c r="E168" s="1" t="s">
        <v>799</v>
      </c>
      <c r="F168" s="1" t="s">
        <v>19</v>
      </c>
      <c r="G168" s="1" t="s">
        <v>20</v>
      </c>
      <c r="H168" s="1" t="b">
        <v>1</v>
      </c>
      <c r="I168" s="1" t="s">
        <v>136</v>
      </c>
      <c r="J168" s="1" t="s">
        <v>800</v>
      </c>
      <c r="K168" s="1" t="s">
        <v>801</v>
      </c>
      <c r="L168" s="1" t="s">
        <v>802</v>
      </c>
      <c r="M168" s="5">
        <f t="array" ref="M168">XLOOKUP(C168&amp;D168, 'Yellow Jacket Fundraising 25-26'!$A$2:$A$112 &amp; 'Yellow Jacket Fundraising 25-26'!$B$2:$B$112, 'Yellow Jacket Fundraising 25-26'!$G$2:$G$112, "Not Found")</f>
        <v>29243</v>
      </c>
      <c r="N168" s="1" t="s">
        <v>213</v>
      </c>
      <c r="O168" s="6" t="str">
        <f>vlookup(B168,'SF Roster'!A:G,7,false)</f>
        <v>Committee Member</v>
      </c>
    </row>
    <row r="169" ht="15.75" customHeight="1">
      <c r="A169" s="1">
        <v>2041821.0</v>
      </c>
      <c r="B169" s="1" t="s">
        <v>26</v>
      </c>
      <c r="C169" s="1" t="s">
        <v>803</v>
      </c>
      <c r="D169" s="1" t="s">
        <v>804</v>
      </c>
      <c r="E169" s="1" t="s">
        <v>805</v>
      </c>
      <c r="F169" s="1" t="s">
        <v>56</v>
      </c>
      <c r="G169" s="1" t="s">
        <v>88</v>
      </c>
      <c r="H169" s="1" t="b">
        <v>1</v>
      </c>
      <c r="J169" s="1" t="s">
        <v>58</v>
      </c>
      <c r="K169" s="1" t="s">
        <v>58</v>
      </c>
      <c r="L169" s="1" t="s">
        <v>58</v>
      </c>
      <c r="M169" s="5" t="str">
        <f t="array" ref="M169">XLOOKUP(C169&amp;D169, 'Yellow Jacket Fundraising 25-26'!$A$2:$A$112 &amp; 'Yellow Jacket Fundraising 25-26'!$B$2:$B$112, 'Yellow Jacket Fundraising 25-26'!$G$2:$G$112, "Not Found")</f>
        <v>Not Found</v>
      </c>
      <c r="N169" s="1" t="s">
        <v>58</v>
      </c>
      <c r="O169" s="6" t="str">
        <f>vlookup(B169,'SF Roster'!A:G,7,false)</f>
        <v>#N/A</v>
      </c>
    </row>
    <row r="170" ht="15.75" customHeight="1">
      <c r="A170" s="1">
        <v>2041860.0</v>
      </c>
      <c r="B170" s="1" t="s">
        <v>26</v>
      </c>
      <c r="C170" s="1" t="s">
        <v>140</v>
      </c>
      <c r="D170" s="1" t="s">
        <v>806</v>
      </c>
      <c r="E170" s="1" t="s">
        <v>807</v>
      </c>
      <c r="F170" s="1" t="s">
        <v>19</v>
      </c>
      <c r="H170" s="1" t="b">
        <v>0</v>
      </c>
      <c r="J170" s="1" t="s">
        <v>58</v>
      </c>
      <c r="K170" s="1" t="s">
        <v>58</v>
      </c>
      <c r="L170" s="1" t="s">
        <v>58</v>
      </c>
      <c r="M170" s="5" t="str">
        <f t="array" ref="M170">XLOOKUP(C170&amp;D170, 'Yellow Jacket Fundraising 25-26'!$A$2:$A$112 &amp; 'Yellow Jacket Fundraising 25-26'!$B$2:$B$112, 'Yellow Jacket Fundraising 25-26'!$G$2:$G$112, "Not Found")</f>
        <v>Not Found</v>
      </c>
      <c r="N170" s="1" t="s">
        <v>58</v>
      </c>
      <c r="O170" s="6" t="str">
        <f>vlookup(B170,'SF Roster'!A:G,7,false)</f>
        <v>#N/A</v>
      </c>
    </row>
    <row r="171" ht="15.75" customHeight="1">
      <c r="A171" s="1">
        <v>2044809.0</v>
      </c>
      <c r="B171" s="1" t="s">
        <v>26</v>
      </c>
      <c r="C171" s="1" t="s">
        <v>603</v>
      </c>
      <c r="D171" s="1" t="s">
        <v>808</v>
      </c>
      <c r="E171" s="1" t="s">
        <v>809</v>
      </c>
      <c r="F171" s="1" t="s">
        <v>19</v>
      </c>
      <c r="H171" s="1" t="b">
        <v>0</v>
      </c>
      <c r="J171" s="1" t="s">
        <v>58</v>
      </c>
      <c r="K171" s="1" t="s">
        <v>58</v>
      </c>
      <c r="L171" s="1" t="s">
        <v>58</v>
      </c>
      <c r="M171" s="5" t="str">
        <f t="array" ref="M171">XLOOKUP(C171&amp;D171, 'Yellow Jacket Fundraising 25-26'!$A$2:$A$112 &amp; 'Yellow Jacket Fundraising 25-26'!$B$2:$B$112, 'Yellow Jacket Fundraising 25-26'!$G$2:$G$112, "Not Found")</f>
        <v>Not Found</v>
      </c>
      <c r="N171" s="1" t="s">
        <v>58</v>
      </c>
      <c r="O171" s="6" t="str">
        <f>vlookup(B171,'SF Roster'!A:G,7,false)</f>
        <v>#N/A</v>
      </c>
    </row>
    <row r="172" ht="15.75" customHeight="1">
      <c r="A172" s="1">
        <v>2041801.0</v>
      </c>
      <c r="B172" s="1" t="s">
        <v>810</v>
      </c>
      <c r="C172" s="1" t="s">
        <v>811</v>
      </c>
      <c r="D172" s="1" t="s">
        <v>812</v>
      </c>
      <c r="E172" s="1" t="s">
        <v>813</v>
      </c>
      <c r="F172" s="1" t="s">
        <v>19</v>
      </c>
      <c r="G172" s="1" t="s">
        <v>20</v>
      </c>
      <c r="H172" s="1" t="b">
        <v>1</v>
      </c>
      <c r="I172" s="1" t="s">
        <v>257</v>
      </c>
      <c r="J172" s="1" t="s">
        <v>814</v>
      </c>
      <c r="K172" s="1" t="s">
        <v>815</v>
      </c>
      <c r="L172" s="1" t="s">
        <v>816</v>
      </c>
      <c r="M172" s="5">
        <f t="array" ref="M172">XLOOKUP(C172&amp;D172, 'Yellow Jacket Fundraising 25-26'!$A$2:$A$112 &amp; 'Yellow Jacket Fundraising 25-26'!$B$2:$B$112, 'Yellow Jacket Fundraising 25-26'!$G$2:$G$112, "Not Found")</f>
        <v>261599</v>
      </c>
      <c r="N172" s="1" t="s">
        <v>103</v>
      </c>
      <c r="O172" s="6" t="str">
        <f>vlookup(B172,'SF Roster'!A:G,7,false)</f>
        <v>Committee Member</v>
      </c>
    </row>
    <row r="173" ht="15.75" customHeight="1">
      <c r="A173" s="1">
        <v>2041811.0</v>
      </c>
      <c r="B173" s="1" t="s">
        <v>817</v>
      </c>
      <c r="C173" s="1" t="s">
        <v>818</v>
      </c>
      <c r="D173" s="1" t="s">
        <v>819</v>
      </c>
      <c r="E173" s="1" t="s">
        <v>820</v>
      </c>
      <c r="F173" s="1" t="s">
        <v>19</v>
      </c>
      <c r="G173" s="1" t="s">
        <v>20</v>
      </c>
      <c r="H173" s="1" t="b">
        <v>1</v>
      </c>
      <c r="I173" s="1" t="s">
        <v>136</v>
      </c>
      <c r="J173" s="1" t="s">
        <v>821</v>
      </c>
      <c r="K173" s="1" t="s">
        <v>822</v>
      </c>
      <c r="L173" s="1" t="s">
        <v>823</v>
      </c>
      <c r="M173" s="5">
        <f t="array" ref="M173">XLOOKUP(C173&amp;D173, 'Yellow Jacket Fundraising 25-26'!$A$2:$A$112 &amp; 'Yellow Jacket Fundraising 25-26'!$B$2:$B$112, 'Yellow Jacket Fundraising 25-26'!$G$2:$G$112, "Not Found")</f>
        <v>12357</v>
      </c>
      <c r="N173" s="1" t="s">
        <v>103</v>
      </c>
      <c r="O173" s="6" t="str">
        <f>vlookup(B173,'SF Roster'!A:G,7,false)</f>
        <v>Committee Member</v>
      </c>
    </row>
    <row r="174" ht="15.75" customHeight="1">
      <c r="A174" s="1">
        <v>2095194.0</v>
      </c>
      <c r="B174" s="1" t="s">
        <v>26</v>
      </c>
      <c r="C174" s="1" t="s">
        <v>200</v>
      </c>
      <c r="D174" s="1" t="s">
        <v>824</v>
      </c>
      <c r="E174" s="1" t="s">
        <v>825</v>
      </c>
      <c r="F174" s="1" t="s">
        <v>80</v>
      </c>
      <c r="G174" s="1" t="s">
        <v>81</v>
      </c>
      <c r="H174" s="1" t="b">
        <v>1</v>
      </c>
      <c r="J174" s="1" t="s">
        <v>58</v>
      </c>
      <c r="K174" s="1" t="s">
        <v>58</v>
      </c>
      <c r="L174" s="1" t="s">
        <v>58</v>
      </c>
      <c r="M174" s="5" t="str">
        <f t="array" ref="M174">XLOOKUP(C174&amp;D174, 'Yellow Jacket Fundraising 25-26'!$A$2:$A$112 &amp; 'Yellow Jacket Fundraising 25-26'!$B$2:$B$112, 'Yellow Jacket Fundraising 25-26'!$G$2:$G$112, "Not Found")</f>
        <v>Not Found</v>
      </c>
      <c r="N174" s="1" t="s">
        <v>58</v>
      </c>
      <c r="O174" s="6" t="str">
        <f>vlookup(B174,'SF Roster'!A:G,7,false)</f>
        <v>#N/A</v>
      </c>
    </row>
    <row r="175" ht="15.75" customHeight="1">
      <c r="A175" s="1">
        <v>2095189.0</v>
      </c>
      <c r="B175" s="1" t="s">
        <v>26</v>
      </c>
      <c r="C175" s="1" t="s">
        <v>826</v>
      </c>
      <c r="D175" s="1" t="s">
        <v>827</v>
      </c>
      <c r="E175" s="1" t="s">
        <v>828</v>
      </c>
      <c r="F175" s="1" t="s">
        <v>80</v>
      </c>
      <c r="G175" s="1" t="s">
        <v>81</v>
      </c>
      <c r="H175" s="1" t="b">
        <v>1</v>
      </c>
      <c r="J175" s="1" t="s">
        <v>58</v>
      </c>
      <c r="K175" s="1" t="s">
        <v>58</v>
      </c>
      <c r="L175" s="1" t="s">
        <v>58</v>
      </c>
      <c r="M175" s="5" t="str">
        <f t="array" ref="M175">XLOOKUP(C175&amp;D175, 'Yellow Jacket Fundraising 25-26'!$A$2:$A$112 &amp; 'Yellow Jacket Fundraising 25-26'!$B$2:$B$112, 'Yellow Jacket Fundraising 25-26'!$G$2:$G$112, "Not Found")</f>
        <v>Not Found</v>
      </c>
      <c r="N175" s="1" t="s">
        <v>58</v>
      </c>
      <c r="O175" s="6" t="str">
        <f>vlookup(B175,'SF Roster'!A:G,7,false)</f>
        <v>#N/A</v>
      </c>
    </row>
    <row r="176" ht="15.75" customHeight="1">
      <c r="A176" s="1">
        <v>2062821.0</v>
      </c>
      <c r="B176" s="1" t="s">
        <v>829</v>
      </c>
      <c r="C176" s="1" t="s">
        <v>830</v>
      </c>
      <c r="D176" s="1" t="s">
        <v>831</v>
      </c>
      <c r="E176" s="1" t="s">
        <v>832</v>
      </c>
      <c r="F176" s="1" t="s">
        <v>19</v>
      </c>
      <c r="G176" s="1" t="s">
        <v>20</v>
      </c>
      <c r="H176" s="1" t="b">
        <v>1</v>
      </c>
      <c r="I176" s="1" t="s">
        <v>72</v>
      </c>
      <c r="J176" s="1" t="s">
        <v>833</v>
      </c>
      <c r="K176" s="1" t="s">
        <v>834</v>
      </c>
      <c r="L176" s="1" t="s">
        <v>835</v>
      </c>
      <c r="M176" s="5">
        <f t="array" ref="M176">XLOOKUP(C176&amp;D176, 'Yellow Jacket Fundraising 25-26'!$A$2:$A$112 &amp; 'Yellow Jacket Fundraising 25-26'!$B$2:$B$112, 'Yellow Jacket Fundraising 25-26'!$G$2:$G$112, "Not Found")</f>
        <v>24768</v>
      </c>
      <c r="N176" s="1" t="s">
        <v>182</v>
      </c>
      <c r="O176" s="6" t="str">
        <f>vlookup(B176,'SF Roster'!A:G,7,false)</f>
        <v>Committee Member</v>
      </c>
    </row>
    <row r="177" ht="15.75" customHeight="1">
      <c r="A177" s="1">
        <v>2095204.0</v>
      </c>
      <c r="B177" s="1" t="s">
        <v>26</v>
      </c>
      <c r="C177" s="1" t="s">
        <v>836</v>
      </c>
      <c r="D177" s="1" t="s">
        <v>837</v>
      </c>
      <c r="E177" s="1" t="s">
        <v>838</v>
      </c>
      <c r="F177" s="1" t="s">
        <v>80</v>
      </c>
      <c r="G177" s="1" t="s">
        <v>81</v>
      </c>
      <c r="H177" s="1" t="b">
        <v>1</v>
      </c>
      <c r="J177" s="1" t="s">
        <v>58</v>
      </c>
      <c r="K177" s="1" t="s">
        <v>58</v>
      </c>
      <c r="L177" s="1" t="s">
        <v>58</v>
      </c>
      <c r="M177" s="5" t="str">
        <f t="array" ref="M177">XLOOKUP(C177&amp;D177, 'Yellow Jacket Fundraising 25-26'!$A$2:$A$112 &amp; 'Yellow Jacket Fundraising 25-26'!$B$2:$B$112, 'Yellow Jacket Fundraising 25-26'!$G$2:$G$112, "Not Found")</f>
        <v>Not Found</v>
      </c>
      <c r="N177" s="1" t="s">
        <v>58</v>
      </c>
      <c r="O177" s="6" t="str">
        <f>vlookup(B177,'SF Roster'!A:G,7,false)</f>
        <v>#N/A</v>
      </c>
    </row>
    <row r="178" ht="15.75" customHeight="1">
      <c r="A178" s="1">
        <v>2041791.0</v>
      </c>
      <c r="B178" s="1" t="s">
        <v>26</v>
      </c>
      <c r="C178" s="1" t="s">
        <v>326</v>
      </c>
      <c r="D178" s="1" t="s">
        <v>839</v>
      </c>
      <c r="E178" s="1" t="s">
        <v>840</v>
      </c>
      <c r="F178" s="1" t="s">
        <v>56</v>
      </c>
      <c r="G178" s="1" t="s">
        <v>88</v>
      </c>
      <c r="H178" s="1" t="b">
        <v>1</v>
      </c>
      <c r="J178" s="1" t="s">
        <v>58</v>
      </c>
      <c r="K178" s="1" t="s">
        <v>58</v>
      </c>
      <c r="L178" s="1" t="s">
        <v>58</v>
      </c>
      <c r="M178" s="5" t="str">
        <f t="array" ref="M178">XLOOKUP(C178&amp;D178, 'Yellow Jacket Fundraising 25-26'!$A$2:$A$112 &amp; 'Yellow Jacket Fundraising 25-26'!$B$2:$B$112, 'Yellow Jacket Fundraising 25-26'!$G$2:$G$112, "Not Found")</f>
        <v>Not Found</v>
      </c>
      <c r="N178" s="1" t="s">
        <v>58</v>
      </c>
      <c r="O178" s="6" t="str">
        <f>vlookup(B178,'SF Roster'!A:G,7,false)</f>
        <v>#N/A</v>
      </c>
    </row>
    <row r="179" ht="15.75" customHeight="1">
      <c r="A179" s="1">
        <v>2041825.0</v>
      </c>
      <c r="B179" s="1" t="s">
        <v>841</v>
      </c>
      <c r="C179" s="1" t="s">
        <v>89</v>
      </c>
      <c r="D179" s="1" t="s">
        <v>842</v>
      </c>
      <c r="E179" s="1" t="s">
        <v>843</v>
      </c>
      <c r="F179" s="1" t="s">
        <v>19</v>
      </c>
      <c r="G179" s="1" t="s">
        <v>20</v>
      </c>
      <c r="H179" s="1" t="b">
        <v>1</v>
      </c>
      <c r="I179" s="1" t="s">
        <v>110</v>
      </c>
      <c r="J179" s="1" t="s">
        <v>844</v>
      </c>
      <c r="K179" s="1" t="s">
        <v>845</v>
      </c>
      <c r="L179" s="1" t="s">
        <v>846</v>
      </c>
      <c r="M179" s="5">
        <f t="array" ref="M179">XLOOKUP(C179&amp;D179, 'Yellow Jacket Fundraising 25-26'!$A$2:$A$112 &amp; 'Yellow Jacket Fundraising 25-26'!$B$2:$B$112, 'Yellow Jacket Fundraising 25-26'!$G$2:$G$112, "Not Found")</f>
        <v>12829</v>
      </c>
      <c r="N179" s="1" t="s">
        <v>103</v>
      </c>
      <c r="O179" s="6" t="str">
        <f>vlookup(B179,'SF Roster'!A:G,7,false)</f>
        <v>Committee Member</v>
      </c>
    </row>
    <row r="180" ht="15.75" customHeight="1">
      <c r="A180" s="1">
        <v>2095201.0</v>
      </c>
      <c r="B180" s="1" t="s">
        <v>26</v>
      </c>
      <c r="C180" s="1" t="s">
        <v>847</v>
      </c>
      <c r="D180" s="1" t="s">
        <v>848</v>
      </c>
      <c r="E180" s="1" t="s">
        <v>849</v>
      </c>
      <c r="F180" s="1" t="s">
        <v>80</v>
      </c>
      <c r="G180" s="1" t="s">
        <v>81</v>
      </c>
      <c r="H180" s="1" t="b">
        <v>1</v>
      </c>
      <c r="J180" s="1" t="s">
        <v>58</v>
      </c>
      <c r="K180" s="1" t="s">
        <v>58</v>
      </c>
      <c r="L180" s="1" t="s">
        <v>58</v>
      </c>
      <c r="M180" s="5" t="str">
        <f t="array" ref="M180">XLOOKUP(C180&amp;D180, 'Yellow Jacket Fundraising 25-26'!$A$2:$A$112 &amp; 'Yellow Jacket Fundraising 25-26'!$B$2:$B$112, 'Yellow Jacket Fundraising 25-26'!$G$2:$G$112, "Not Found")</f>
        <v>Not Found</v>
      </c>
      <c r="N180" s="1" t="s">
        <v>58</v>
      </c>
      <c r="O180" s="6" t="str">
        <f>vlookup(B180,'SF Roster'!A:G,7,false)</f>
        <v>#N/A</v>
      </c>
    </row>
    <row r="181" ht="15.75" customHeight="1">
      <c r="A181" s="1">
        <v>2041852.0</v>
      </c>
      <c r="B181" s="1" t="s">
        <v>850</v>
      </c>
      <c r="C181" s="1" t="s">
        <v>851</v>
      </c>
      <c r="D181" s="1" t="s">
        <v>852</v>
      </c>
      <c r="E181" s="1" t="s">
        <v>853</v>
      </c>
      <c r="F181" s="1" t="s">
        <v>19</v>
      </c>
      <c r="G181" s="1" t="s">
        <v>20</v>
      </c>
      <c r="H181" s="1" t="b">
        <v>1</v>
      </c>
      <c r="I181" s="1" t="s">
        <v>21</v>
      </c>
      <c r="J181" s="1" t="s">
        <v>854</v>
      </c>
      <c r="K181" s="1" t="s">
        <v>855</v>
      </c>
      <c r="L181" s="1" t="s">
        <v>856</v>
      </c>
      <c r="M181" s="5">
        <f t="array" ref="M181">XLOOKUP(C181&amp;D181, 'Yellow Jacket Fundraising 25-26'!$A$2:$A$112 &amp; 'Yellow Jacket Fundraising 25-26'!$B$2:$B$112, 'Yellow Jacket Fundraising 25-26'!$G$2:$G$112, "Not Found")</f>
        <v>11990</v>
      </c>
      <c r="N181" s="1" t="s">
        <v>103</v>
      </c>
      <c r="O181" s="6" t="str">
        <f>vlookup(B181,'SF Roster'!A:G,7,false)</f>
        <v>Committee Member</v>
      </c>
    </row>
    <row r="182" ht="15.75" customHeight="1">
      <c r="A182" s="1">
        <v>2011421.0</v>
      </c>
      <c r="B182" s="1" t="s">
        <v>857</v>
      </c>
      <c r="C182" s="1" t="s">
        <v>858</v>
      </c>
      <c r="D182" s="1" t="s">
        <v>859</v>
      </c>
      <c r="E182" s="1" t="s">
        <v>860</v>
      </c>
      <c r="F182" s="1" t="s">
        <v>19</v>
      </c>
      <c r="G182" s="1" t="s">
        <v>20</v>
      </c>
      <c r="H182" s="1" t="b">
        <v>1</v>
      </c>
      <c r="I182" s="1" t="s">
        <v>136</v>
      </c>
      <c r="J182" s="1" t="s">
        <v>861</v>
      </c>
      <c r="K182" s="1" t="s">
        <v>862</v>
      </c>
      <c r="L182" s="1" t="s">
        <v>863</v>
      </c>
      <c r="M182" s="5">
        <f t="array" ref="M182">XLOOKUP(C182&amp;D182, 'Yellow Jacket Fundraising 25-26'!$A$2:$A$112 &amp; 'Yellow Jacket Fundraising 25-26'!$B$2:$B$112, 'Yellow Jacket Fundraising 25-26'!$G$2:$G$112, "Not Found")</f>
        <v>9375</v>
      </c>
      <c r="N182" s="1" t="s">
        <v>182</v>
      </c>
      <c r="O182" s="6" t="str">
        <f>vlookup(B182,'SF Roster'!A:G,7,false)</f>
        <v>Committee Member</v>
      </c>
    </row>
    <row r="183" ht="15.75" customHeight="1">
      <c r="A183" s="1">
        <v>2041827.0</v>
      </c>
      <c r="B183" s="1" t="s">
        <v>864</v>
      </c>
      <c r="C183" s="1" t="s">
        <v>865</v>
      </c>
      <c r="D183" s="1" t="s">
        <v>866</v>
      </c>
      <c r="E183" s="1" t="s">
        <v>867</v>
      </c>
      <c r="F183" s="1" t="s">
        <v>19</v>
      </c>
      <c r="G183" s="1" t="s">
        <v>20</v>
      </c>
      <c r="H183" s="1" t="b">
        <v>1</v>
      </c>
      <c r="I183" s="1" t="s">
        <v>49</v>
      </c>
      <c r="J183" s="1" t="s">
        <v>868</v>
      </c>
      <c r="K183" s="1" t="s">
        <v>869</v>
      </c>
      <c r="L183" s="1" t="s">
        <v>870</v>
      </c>
      <c r="M183" s="5">
        <f t="array" ref="M183">XLOOKUP(C183&amp;D183, 'Yellow Jacket Fundraising 25-26'!$A$2:$A$112 &amp; 'Yellow Jacket Fundraising 25-26'!$B$2:$B$112, 'Yellow Jacket Fundraising 25-26'!$G$2:$G$112, "Not Found")</f>
        <v>30000</v>
      </c>
      <c r="N183" s="7">
        <v>40087.0</v>
      </c>
      <c r="O183" s="6" t="str">
        <f>vlookup(B183,'SF Roster'!A:G,7,false)</f>
        <v>Committee Member</v>
      </c>
    </row>
    <row r="184" ht="15.75" customHeight="1">
      <c r="A184" s="1">
        <v>2041799.0</v>
      </c>
      <c r="B184" s="1" t="s">
        <v>871</v>
      </c>
      <c r="C184" s="1" t="s">
        <v>585</v>
      </c>
      <c r="D184" s="1" t="s">
        <v>872</v>
      </c>
      <c r="E184" s="1" t="s">
        <v>873</v>
      </c>
      <c r="F184" s="1" t="s">
        <v>19</v>
      </c>
      <c r="G184" s="1" t="s">
        <v>20</v>
      </c>
      <c r="H184" s="1" t="b">
        <v>1</v>
      </c>
      <c r="I184" s="1" t="s">
        <v>136</v>
      </c>
      <c r="J184" s="1" t="s">
        <v>874</v>
      </c>
      <c r="K184" s="1" t="s">
        <v>875</v>
      </c>
      <c r="L184" s="1" t="s">
        <v>876</v>
      </c>
      <c r="M184" s="5">
        <f t="array" ref="M184">XLOOKUP(C184&amp;D184, 'Yellow Jacket Fundraising 25-26'!$A$2:$A$112 &amp; 'Yellow Jacket Fundraising 25-26'!$B$2:$B$112, 'Yellow Jacket Fundraising 25-26'!$G$2:$G$112, "Not Found")</f>
        <v>119909</v>
      </c>
      <c r="N184" s="1" t="s">
        <v>324</v>
      </c>
      <c r="O184" s="6" t="str">
        <f>vlookup(B184,'SF Roster'!A:G,7,false)</f>
        <v>Committee Member</v>
      </c>
    </row>
    <row r="185" ht="15.75" customHeight="1">
      <c r="A185" s="1">
        <v>2095188.0</v>
      </c>
      <c r="B185" s="1" t="s">
        <v>26</v>
      </c>
      <c r="C185" s="1" t="s">
        <v>877</v>
      </c>
      <c r="D185" s="1" t="s">
        <v>878</v>
      </c>
      <c r="E185" s="1" t="s">
        <v>879</v>
      </c>
      <c r="F185" s="1" t="s">
        <v>56</v>
      </c>
      <c r="G185" s="1" t="s">
        <v>57</v>
      </c>
      <c r="H185" s="1" t="b">
        <v>1</v>
      </c>
      <c r="J185" s="1" t="s">
        <v>58</v>
      </c>
      <c r="K185" s="1" t="s">
        <v>58</v>
      </c>
      <c r="L185" s="1" t="s">
        <v>58</v>
      </c>
      <c r="M185" s="5" t="str">
        <f t="array" ref="M185">XLOOKUP(C185&amp;D185, 'Yellow Jacket Fundraising 25-26'!$A$2:$A$112 &amp; 'Yellow Jacket Fundraising 25-26'!$B$2:$B$112, 'Yellow Jacket Fundraising 25-26'!$G$2:$G$112, "Not Found")</f>
        <v>Not Found</v>
      </c>
      <c r="N185" s="1" t="s">
        <v>58</v>
      </c>
      <c r="O185" s="6" t="str">
        <f>vlookup(B185,'SF Roster'!A:G,7,false)</f>
        <v>#N/A</v>
      </c>
    </row>
    <row r="186" ht="15.75" customHeight="1">
      <c r="A186" s="1">
        <v>2041832.0</v>
      </c>
      <c r="B186" s="1" t="s">
        <v>26</v>
      </c>
      <c r="C186" s="1" t="s">
        <v>880</v>
      </c>
      <c r="D186" s="1" t="s">
        <v>881</v>
      </c>
      <c r="E186" s="1" t="s">
        <v>882</v>
      </c>
      <c r="F186" s="1" t="s">
        <v>56</v>
      </c>
      <c r="G186" s="1" t="s">
        <v>88</v>
      </c>
      <c r="H186" s="1" t="b">
        <v>1</v>
      </c>
      <c r="J186" s="1" t="s">
        <v>58</v>
      </c>
      <c r="K186" s="1" t="s">
        <v>58</v>
      </c>
      <c r="L186" s="1" t="s">
        <v>58</v>
      </c>
      <c r="M186" s="5" t="str">
        <f t="array" ref="M186">XLOOKUP(C186&amp;D186, 'Yellow Jacket Fundraising 25-26'!$A$2:$A$112 &amp; 'Yellow Jacket Fundraising 25-26'!$B$2:$B$112, 'Yellow Jacket Fundraising 25-26'!$G$2:$G$112, "Not Found")</f>
        <v>Not Found</v>
      </c>
      <c r="N186" s="1" t="s">
        <v>58</v>
      </c>
      <c r="O186" s="6" t="str">
        <f>vlookup(B186,'SF Roster'!A:G,7,false)</f>
        <v>#N/A</v>
      </c>
    </row>
    <row r="187" ht="15.75" customHeight="1">
      <c r="A187" s="1">
        <v>2060684.0</v>
      </c>
      <c r="B187" s="1" t="s">
        <v>883</v>
      </c>
      <c r="C187" s="1" t="s">
        <v>884</v>
      </c>
      <c r="D187" s="1" t="s">
        <v>885</v>
      </c>
      <c r="E187" s="1" t="s">
        <v>886</v>
      </c>
      <c r="F187" s="1" t="s">
        <v>19</v>
      </c>
      <c r="G187" s="1" t="s">
        <v>20</v>
      </c>
      <c r="H187" s="1" t="b">
        <v>1</v>
      </c>
      <c r="I187" s="1" t="s">
        <v>257</v>
      </c>
      <c r="J187" s="1" t="s">
        <v>887</v>
      </c>
      <c r="K187" s="1" t="s">
        <v>888</v>
      </c>
      <c r="L187" s="1" t="s">
        <v>889</v>
      </c>
      <c r="M187" s="5">
        <f t="array" ref="M187">XLOOKUP(C187&amp;D187, 'Yellow Jacket Fundraising 25-26'!$A$2:$A$112 &amp; 'Yellow Jacket Fundraising 25-26'!$B$2:$B$112, 'Yellow Jacket Fundraising 25-26'!$G$2:$G$112, "Not Found")</f>
        <v>7565</v>
      </c>
      <c r="N187" s="1" t="s">
        <v>182</v>
      </c>
      <c r="O187" s="6" t="str">
        <f>vlookup(B187,'SF Roster'!A:G,7,false)</f>
        <v>Committee Member</v>
      </c>
    </row>
    <row r="188" ht="15.75" customHeight="1">
      <c r="A188" s="1">
        <v>2062822.0</v>
      </c>
      <c r="B188" s="1" t="s">
        <v>890</v>
      </c>
      <c r="C188" s="1" t="s">
        <v>679</v>
      </c>
      <c r="D188" s="1" t="s">
        <v>891</v>
      </c>
      <c r="E188" s="1" t="s">
        <v>892</v>
      </c>
      <c r="F188" s="1" t="s">
        <v>19</v>
      </c>
      <c r="G188" s="1" t="s">
        <v>20</v>
      </c>
      <c r="H188" s="1" t="b">
        <v>1</v>
      </c>
      <c r="I188" s="1" t="s">
        <v>40</v>
      </c>
      <c r="J188" s="1" t="s">
        <v>893</v>
      </c>
      <c r="K188" s="1" t="s">
        <v>894</v>
      </c>
      <c r="L188" s="1" t="s">
        <v>895</v>
      </c>
      <c r="M188" s="5">
        <f t="array" ref="M188">XLOOKUP(C188&amp;D188, 'Yellow Jacket Fundraising 25-26'!$A$2:$A$112 &amp; 'Yellow Jacket Fundraising 25-26'!$B$2:$B$112, 'Yellow Jacket Fundraising 25-26'!$G$2:$G$112, "Not Found")</f>
        <v>14638</v>
      </c>
      <c r="N188" s="1" t="s">
        <v>182</v>
      </c>
      <c r="O188" s="6" t="str">
        <f>vlookup(B188,'SF Roster'!A:G,7,false)</f>
        <v>Committee Member</v>
      </c>
    </row>
    <row r="189" ht="15.75" customHeight="1">
      <c r="A189" s="1">
        <v>2041794.0</v>
      </c>
      <c r="B189" s="1" t="s">
        <v>26</v>
      </c>
      <c r="C189" s="1" t="s">
        <v>679</v>
      </c>
      <c r="D189" s="1" t="s">
        <v>896</v>
      </c>
      <c r="E189" s="1" t="s">
        <v>897</v>
      </c>
      <c r="F189" s="1" t="s">
        <v>56</v>
      </c>
      <c r="G189" s="1" t="s">
        <v>88</v>
      </c>
      <c r="H189" s="1" t="b">
        <v>1</v>
      </c>
      <c r="J189" s="1" t="s">
        <v>58</v>
      </c>
      <c r="K189" s="1" t="s">
        <v>58</v>
      </c>
      <c r="L189" s="1" t="s">
        <v>58</v>
      </c>
      <c r="M189" s="5" t="str">
        <f t="array" ref="M189">XLOOKUP(C189&amp;D189, 'Yellow Jacket Fundraising 25-26'!$A$2:$A$112 &amp; 'Yellow Jacket Fundraising 25-26'!$B$2:$B$112, 'Yellow Jacket Fundraising 25-26'!$G$2:$G$112, "Not Found")</f>
        <v>Not Found</v>
      </c>
      <c r="N189" s="1" t="s">
        <v>58</v>
      </c>
      <c r="O189" s="6" t="str">
        <f>vlookup(B189,'SF Roster'!A:G,7,false)</f>
        <v>#N/A</v>
      </c>
    </row>
    <row r="190" ht="15.75" customHeight="1">
      <c r="A190" s="1">
        <v>2041847.0</v>
      </c>
      <c r="B190" s="1" t="s">
        <v>26</v>
      </c>
      <c r="C190" s="1" t="s">
        <v>126</v>
      </c>
      <c r="D190" s="1" t="s">
        <v>898</v>
      </c>
      <c r="E190" s="1" t="s">
        <v>899</v>
      </c>
      <c r="F190" s="1" t="s">
        <v>56</v>
      </c>
      <c r="G190" s="1" t="s">
        <v>88</v>
      </c>
      <c r="H190" s="1" t="b">
        <v>1</v>
      </c>
      <c r="J190" s="1" t="s">
        <v>58</v>
      </c>
      <c r="K190" s="1" t="s">
        <v>58</v>
      </c>
      <c r="L190" s="1" t="s">
        <v>58</v>
      </c>
      <c r="M190" s="5" t="str">
        <f t="array" ref="M190">XLOOKUP(C190&amp;D190, 'Yellow Jacket Fundraising 25-26'!$A$2:$A$112 &amp; 'Yellow Jacket Fundraising 25-26'!$B$2:$B$112, 'Yellow Jacket Fundraising 25-26'!$G$2:$G$112, "Not Found")</f>
        <v>Not Found</v>
      </c>
      <c r="N190" s="1" t="s">
        <v>58</v>
      </c>
      <c r="O190" s="6" t="str">
        <f>vlookup(B190,'SF Roster'!A:G,7,false)</f>
        <v>#N/A</v>
      </c>
    </row>
    <row r="191" ht="15.75" customHeight="1">
      <c r="A191" s="1">
        <v>2041795.0</v>
      </c>
      <c r="B191" s="1" t="s">
        <v>26</v>
      </c>
      <c r="C191" s="1" t="s">
        <v>900</v>
      </c>
      <c r="D191" s="1" t="s">
        <v>901</v>
      </c>
      <c r="E191" s="1" t="s">
        <v>902</v>
      </c>
      <c r="F191" s="1" t="s">
        <v>19</v>
      </c>
      <c r="H191" s="1" t="b">
        <v>0</v>
      </c>
      <c r="J191" s="1" t="s">
        <v>58</v>
      </c>
      <c r="K191" s="1" t="s">
        <v>58</v>
      </c>
      <c r="L191" s="1" t="s">
        <v>58</v>
      </c>
      <c r="M191" s="5" t="str">
        <f t="array" ref="M191">XLOOKUP(C191&amp;D191, 'Yellow Jacket Fundraising 25-26'!$A$2:$A$112 &amp; 'Yellow Jacket Fundraising 25-26'!$B$2:$B$112, 'Yellow Jacket Fundraising 25-26'!$G$2:$G$112, "Not Found")</f>
        <v>Not Found</v>
      </c>
      <c r="N191" s="1" t="s">
        <v>58</v>
      </c>
      <c r="O191" s="6" t="str">
        <f>vlookup(B191,'SF Roster'!A:G,7,false)</f>
        <v>#N/A</v>
      </c>
    </row>
    <row r="192" ht="15.75" customHeight="1">
      <c r="A192" s="1">
        <v>2041785.0</v>
      </c>
      <c r="B192" s="1" t="s">
        <v>903</v>
      </c>
      <c r="C192" s="1" t="s">
        <v>690</v>
      </c>
      <c r="D192" s="1" t="s">
        <v>904</v>
      </c>
      <c r="E192" s="1" t="s">
        <v>905</v>
      </c>
      <c r="F192" s="1" t="s">
        <v>19</v>
      </c>
      <c r="G192" s="1" t="s">
        <v>20</v>
      </c>
      <c r="H192" s="1" t="b">
        <v>1</v>
      </c>
      <c r="I192" s="1" t="s">
        <v>40</v>
      </c>
      <c r="J192" s="1" t="s">
        <v>906</v>
      </c>
      <c r="K192" s="1" t="s">
        <v>907</v>
      </c>
      <c r="L192" s="1" t="s">
        <v>908</v>
      </c>
      <c r="M192" s="5">
        <f t="array" ref="M192">XLOOKUP(C192&amp;D192, 'Yellow Jacket Fundraising 25-26'!$A$2:$A$112 &amp; 'Yellow Jacket Fundraising 25-26'!$B$2:$B$112, 'Yellow Jacket Fundraising 25-26'!$G$2:$G$112, "Not Found")</f>
        <v>14297</v>
      </c>
      <c r="N192" s="1" t="s">
        <v>562</v>
      </c>
      <c r="O192" s="6" t="str">
        <f>vlookup(B192,'SF Roster'!A:G,7,false)</f>
        <v>Committee Member</v>
      </c>
    </row>
    <row r="193" ht="15.75" customHeight="1">
      <c r="A193" s="1">
        <v>2041780.0</v>
      </c>
      <c r="B193" s="1" t="s">
        <v>26</v>
      </c>
      <c r="C193" s="1" t="s">
        <v>176</v>
      </c>
      <c r="D193" s="1" t="s">
        <v>909</v>
      </c>
      <c r="E193" s="1" t="s">
        <v>910</v>
      </c>
      <c r="F193" s="1" t="s">
        <v>56</v>
      </c>
      <c r="G193" s="1" t="s">
        <v>88</v>
      </c>
      <c r="H193" s="1" t="b">
        <v>1</v>
      </c>
      <c r="J193" s="1" t="s">
        <v>58</v>
      </c>
      <c r="K193" s="1" t="s">
        <v>58</v>
      </c>
      <c r="L193" s="1" t="s">
        <v>58</v>
      </c>
      <c r="M193" s="5" t="str">
        <f t="array" ref="M193">XLOOKUP(C193&amp;D193, 'Yellow Jacket Fundraising 25-26'!$A$2:$A$112 &amp; 'Yellow Jacket Fundraising 25-26'!$B$2:$B$112, 'Yellow Jacket Fundraising 25-26'!$G$2:$G$112, "Not Found")</f>
        <v>Not Found</v>
      </c>
      <c r="N193" s="1" t="s">
        <v>58</v>
      </c>
      <c r="O193" s="6" t="str">
        <f>vlookup(B193,'SF Roster'!A:G,7,false)</f>
        <v>#N/A</v>
      </c>
    </row>
    <row r="194" ht="15.75" customHeight="1">
      <c r="A194" s="1">
        <v>2041787.0</v>
      </c>
      <c r="B194" s="1" t="s">
        <v>26</v>
      </c>
      <c r="C194" s="1" t="s">
        <v>92</v>
      </c>
      <c r="D194" s="1" t="s">
        <v>909</v>
      </c>
      <c r="E194" s="1" t="s">
        <v>911</v>
      </c>
      <c r="F194" s="1" t="s">
        <v>80</v>
      </c>
      <c r="G194" s="1" t="s">
        <v>81</v>
      </c>
      <c r="H194" s="1" t="b">
        <v>1</v>
      </c>
      <c r="J194" s="1" t="s">
        <v>58</v>
      </c>
      <c r="K194" s="1" t="s">
        <v>58</v>
      </c>
      <c r="L194" s="1" t="s">
        <v>58</v>
      </c>
      <c r="M194" s="5" t="str">
        <f t="array" ref="M194">XLOOKUP(C194&amp;D194, 'Yellow Jacket Fundraising 25-26'!$A$2:$A$112 &amp; 'Yellow Jacket Fundraising 25-26'!$B$2:$B$112, 'Yellow Jacket Fundraising 25-26'!$G$2:$G$112, "Not Found")</f>
        <v>Not Found</v>
      </c>
      <c r="N194" s="1" t="s">
        <v>58</v>
      </c>
      <c r="O194" s="6" t="str">
        <f>vlookup(B194,'SF Roster'!A:G,7,false)</f>
        <v>#N/A</v>
      </c>
    </row>
    <row r="195" ht="15.75" customHeight="1">
      <c r="A195" s="1">
        <v>2095191.0</v>
      </c>
      <c r="B195" s="1" t="s">
        <v>26</v>
      </c>
      <c r="C195" s="1" t="s">
        <v>192</v>
      </c>
      <c r="D195" s="1" t="s">
        <v>909</v>
      </c>
      <c r="E195" s="1" t="s">
        <v>912</v>
      </c>
      <c r="F195" s="1" t="s">
        <v>80</v>
      </c>
      <c r="G195" s="1" t="s">
        <v>81</v>
      </c>
      <c r="H195" s="1" t="b">
        <v>1</v>
      </c>
      <c r="J195" s="1" t="s">
        <v>58</v>
      </c>
      <c r="K195" s="1" t="s">
        <v>58</v>
      </c>
      <c r="L195" s="1" t="s">
        <v>58</v>
      </c>
      <c r="M195" s="5" t="str">
        <f t="array" ref="M195">XLOOKUP(C195&amp;D195, 'Yellow Jacket Fundraising 25-26'!$A$2:$A$112 &amp; 'Yellow Jacket Fundraising 25-26'!$B$2:$B$112, 'Yellow Jacket Fundraising 25-26'!$G$2:$G$112, "Not Found")</f>
        <v>Not Found</v>
      </c>
      <c r="N195" s="1" t="s">
        <v>58</v>
      </c>
      <c r="O195" s="6" t="str">
        <f>vlookup(B195,'SF Roster'!A:G,7,false)</f>
        <v>#N/A</v>
      </c>
    </row>
    <row r="196" ht="15.75" customHeight="1">
      <c r="A196" s="1">
        <v>2095200.0</v>
      </c>
      <c r="B196" s="1" t="s">
        <v>26</v>
      </c>
      <c r="C196" s="1" t="s">
        <v>532</v>
      </c>
      <c r="D196" s="1" t="s">
        <v>909</v>
      </c>
      <c r="E196" s="1" t="s">
        <v>913</v>
      </c>
      <c r="F196" s="1" t="s">
        <v>80</v>
      </c>
      <c r="G196" s="1" t="s">
        <v>81</v>
      </c>
      <c r="H196" s="1" t="b">
        <v>1</v>
      </c>
      <c r="J196" s="1" t="s">
        <v>58</v>
      </c>
      <c r="K196" s="1" t="s">
        <v>58</v>
      </c>
      <c r="L196" s="1" t="s">
        <v>58</v>
      </c>
      <c r="M196" s="5" t="str">
        <f t="array" ref="M196">XLOOKUP(C196&amp;D196, 'Yellow Jacket Fundraising 25-26'!$A$2:$A$112 &amp; 'Yellow Jacket Fundraising 25-26'!$B$2:$B$112, 'Yellow Jacket Fundraising 25-26'!$G$2:$G$112, "Not Found")</f>
        <v>Not Found</v>
      </c>
      <c r="N196" s="1" t="s">
        <v>58</v>
      </c>
      <c r="O196" s="6" t="str">
        <f>vlookup(B196,'SF Roster'!A:G,7,false)</f>
        <v>#N/A</v>
      </c>
    </row>
    <row r="197" ht="15.75" customHeight="1">
      <c r="A197" s="1">
        <v>2041833.0</v>
      </c>
      <c r="B197" s="1" t="s">
        <v>26</v>
      </c>
      <c r="C197" s="1" t="s">
        <v>254</v>
      </c>
      <c r="D197" s="1" t="s">
        <v>914</v>
      </c>
      <c r="E197" s="1" t="s">
        <v>915</v>
      </c>
      <c r="F197" s="1" t="s">
        <v>56</v>
      </c>
      <c r="G197" s="1" t="s">
        <v>88</v>
      </c>
      <c r="H197" s="1" t="b">
        <v>1</v>
      </c>
      <c r="J197" s="1" t="s">
        <v>58</v>
      </c>
      <c r="K197" s="1" t="s">
        <v>58</v>
      </c>
      <c r="L197" s="1" t="s">
        <v>58</v>
      </c>
      <c r="M197" s="5" t="str">
        <f t="array" ref="M197">XLOOKUP(C197&amp;D197, 'Yellow Jacket Fundraising 25-26'!$A$2:$A$112 &amp; 'Yellow Jacket Fundraising 25-26'!$B$2:$B$112, 'Yellow Jacket Fundraising 25-26'!$G$2:$G$112, "Not Found")</f>
        <v>Not Found</v>
      </c>
      <c r="N197" s="1" t="s">
        <v>58</v>
      </c>
      <c r="O197" s="6" t="str">
        <f>vlookup(B197,'SF Roster'!A:G,7,false)</f>
        <v>#N/A</v>
      </c>
    </row>
    <row r="198" ht="15.75" customHeight="1">
      <c r="A198" s="1">
        <v>2041774.0</v>
      </c>
      <c r="B198" s="1" t="s">
        <v>916</v>
      </c>
      <c r="C198" s="1" t="s">
        <v>917</v>
      </c>
      <c r="D198" s="1" t="s">
        <v>918</v>
      </c>
      <c r="E198" s="1" t="s">
        <v>919</v>
      </c>
      <c r="F198" s="1" t="s">
        <v>19</v>
      </c>
      <c r="G198" s="1" t="s">
        <v>20</v>
      </c>
      <c r="H198" s="1" t="b">
        <v>1</v>
      </c>
      <c r="I198" s="1" t="s">
        <v>217</v>
      </c>
      <c r="J198" s="1">
        <v>2.032495791E9</v>
      </c>
      <c r="K198" s="1" t="s">
        <v>920</v>
      </c>
      <c r="L198" s="1"/>
      <c r="M198" s="5">
        <f t="array" ref="M198">XLOOKUP(C198&amp;D198, 'Yellow Jacket Fundraising 25-26'!$A$2:$A$112 &amp; 'Yellow Jacket Fundraising 25-26'!$B$2:$B$112, 'Yellow Jacket Fundraising 25-26'!$G$2:$G$112, "Not Found")</f>
        <v>41525</v>
      </c>
      <c r="N198" s="1" t="s">
        <v>58</v>
      </c>
      <c r="O198" s="6" t="str">
        <f>vlookup(B198,'SF Roster'!A:G,7,false)</f>
        <v>Committee Member</v>
      </c>
    </row>
    <row r="199" ht="15.75" customHeight="1">
      <c r="A199" s="1">
        <v>2044810.0</v>
      </c>
      <c r="B199" s="1" t="s">
        <v>921</v>
      </c>
      <c r="C199" s="1" t="s">
        <v>922</v>
      </c>
      <c r="D199" s="1" t="s">
        <v>923</v>
      </c>
      <c r="E199" s="1" t="s">
        <v>924</v>
      </c>
      <c r="F199" s="1" t="s">
        <v>19</v>
      </c>
      <c r="G199" s="1" t="s">
        <v>20</v>
      </c>
      <c r="H199" s="1" t="b">
        <v>1</v>
      </c>
      <c r="I199" s="1" t="s">
        <v>329</v>
      </c>
      <c r="J199" s="1" t="s">
        <v>925</v>
      </c>
      <c r="K199" s="1" t="s">
        <v>926</v>
      </c>
      <c r="L199" s="1" t="s">
        <v>927</v>
      </c>
      <c r="M199" s="5">
        <f t="array" ref="M199">XLOOKUP(C199&amp;D199, 'Yellow Jacket Fundraising 25-26'!$A$2:$A$112 &amp; 'Yellow Jacket Fundraising 25-26'!$B$2:$B$112, 'Yellow Jacket Fundraising 25-26'!$G$2:$G$112, "Not Found")</f>
        <v>52104</v>
      </c>
      <c r="N199" s="1" t="s">
        <v>58</v>
      </c>
      <c r="O199" s="6" t="str">
        <f>vlookup(B199,'SF Roster'!A:G,7,false)</f>
        <v>Committee Member</v>
      </c>
    </row>
    <row r="200" ht="15.75" customHeight="1">
      <c r="A200" s="1">
        <v>2041797.0</v>
      </c>
      <c r="B200" s="1" t="s">
        <v>928</v>
      </c>
      <c r="C200" s="1" t="s">
        <v>169</v>
      </c>
      <c r="D200" s="1" t="s">
        <v>929</v>
      </c>
      <c r="E200" s="1" t="s">
        <v>930</v>
      </c>
      <c r="F200" s="1" t="s">
        <v>19</v>
      </c>
      <c r="G200" s="1" t="s">
        <v>20</v>
      </c>
      <c r="H200" s="1" t="b">
        <v>1</v>
      </c>
      <c r="I200" s="1" t="s">
        <v>329</v>
      </c>
      <c r="J200" s="1" t="s">
        <v>931</v>
      </c>
      <c r="K200" s="1" t="s">
        <v>932</v>
      </c>
      <c r="L200" s="1" t="s">
        <v>933</v>
      </c>
      <c r="M200" s="5">
        <f t="array" ref="M200">XLOOKUP(C200&amp;D200, 'Yellow Jacket Fundraising 25-26'!$A$2:$A$112 &amp; 'Yellow Jacket Fundraising 25-26'!$B$2:$B$112, 'Yellow Jacket Fundraising 25-26'!$G$2:$G$112, "Not Found")</f>
        <v>7575</v>
      </c>
      <c r="N200" s="1" t="s">
        <v>58</v>
      </c>
      <c r="O200" s="6" t="str">
        <f>vlookup(B200,'SF Roster'!A:G,7,false)</f>
        <v>Committee Member</v>
      </c>
    </row>
    <row r="201" ht="15.75" customHeight="1">
      <c r="A201" s="1">
        <v>2041849.0</v>
      </c>
      <c r="B201" s="1" t="s">
        <v>934</v>
      </c>
      <c r="C201" s="1" t="s">
        <v>935</v>
      </c>
      <c r="D201" s="1" t="s">
        <v>936</v>
      </c>
      <c r="E201" s="1" t="s">
        <v>937</v>
      </c>
      <c r="F201" s="1" t="s">
        <v>19</v>
      </c>
      <c r="G201" s="1" t="s">
        <v>20</v>
      </c>
      <c r="H201" s="1" t="b">
        <v>1</v>
      </c>
      <c r="J201" s="1" t="s">
        <v>938</v>
      </c>
      <c r="K201" s="1" t="s">
        <v>939</v>
      </c>
      <c r="L201" s="1" t="s">
        <v>940</v>
      </c>
      <c r="M201" s="5">
        <f t="array" ref="M201">XLOOKUP(C201&amp;D201, 'Yellow Jacket Fundraising 25-26'!$A$2:$A$112 &amp; 'Yellow Jacket Fundraising 25-26'!$B$2:$B$112, 'Yellow Jacket Fundraising 25-26'!$G$2:$G$112, "Not Found")</f>
        <v>7150</v>
      </c>
      <c r="N201" s="1" t="s">
        <v>58</v>
      </c>
      <c r="O201" s="6" t="str">
        <f>vlookup(B201,'SF Roster'!A:G,7,false)</f>
        <v>Committee Member</v>
      </c>
    </row>
    <row r="202" ht="15.75" customHeight="1">
      <c r="A202" s="1">
        <v>2041831.0</v>
      </c>
      <c r="B202" s="1" t="s">
        <v>26</v>
      </c>
      <c r="C202" s="1" t="s">
        <v>439</v>
      </c>
      <c r="D202" s="1" t="s">
        <v>941</v>
      </c>
      <c r="E202" s="1" t="s">
        <v>942</v>
      </c>
      <c r="F202" s="1" t="s">
        <v>19</v>
      </c>
      <c r="H202" s="1" t="b">
        <v>0</v>
      </c>
      <c r="J202" s="1" t="s">
        <v>58</v>
      </c>
      <c r="K202" s="1" t="s">
        <v>58</v>
      </c>
      <c r="L202" s="1" t="s">
        <v>58</v>
      </c>
      <c r="M202" s="5" t="str">
        <f t="array" ref="M202">XLOOKUP(C202&amp;D202, 'Yellow Jacket Fundraising 25-26'!$A$2:$A$112 &amp; 'Yellow Jacket Fundraising 25-26'!$B$2:$B$112, 'Yellow Jacket Fundraising 25-26'!$G$2:$G$112, "Not Found")</f>
        <v>Not Found</v>
      </c>
      <c r="N202" s="1" t="s">
        <v>58</v>
      </c>
      <c r="O202" s="6" t="str">
        <f>vlookup(B202,'SF Roster'!A:G,7,false)</f>
        <v>#N/A</v>
      </c>
    </row>
    <row r="203" ht="15.75" customHeight="1">
      <c r="A203" s="1">
        <v>2095185.0</v>
      </c>
      <c r="B203" s="1" t="s">
        <v>26</v>
      </c>
      <c r="C203" s="1" t="s">
        <v>943</v>
      </c>
      <c r="D203" s="1" t="s">
        <v>944</v>
      </c>
      <c r="E203" s="1" t="s">
        <v>945</v>
      </c>
      <c r="F203" s="1" t="s">
        <v>80</v>
      </c>
      <c r="G203" s="1" t="s">
        <v>81</v>
      </c>
      <c r="H203" s="1" t="b">
        <v>1</v>
      </c>
      <c r="J203" s="1" t="s">
        <v>58</v>
      </c>
      <c r="K203" s="1" t="s">
        <v>58</v>
      </c>
      <c r="L203" s="1" t="s">
        <v>58</v>
      </c>
      <c r="M203" s="5" t="str">
        <f t="array" ref="M203">XLOOKUP(C203&amp;D203, 'Yellow Jacket Fundraising 25-26'!$A$2:$A$112 &amp; 'Yellow Jacket Fundraising 25-26'!$B$2:$B$112, 'Yellow Jacket Fundraising 25-26'!$G$2:$G$112, "Not Found")</f>
        <v>Not Found</v>
      </c>
      <c r="N203" s="1" t="s">
        <v>58</v>
      </c>
      <c r="O203" s="6" t="str">
        <f>vlookup(B203,'SF Roster'!A:G,7,false)</f>
        <v>#N/A</v>
      </c>
    </row>
    <row r="204" ht="15.75" customHeight="1">
      <c r="A204" s="1">
        <v>2044811.0</v>
      </c>
      <c r="B204" s="1" t="s">
        <v>26</v>
      </c>
      <c r="C204" s="1" t="s">
        <v>140</v>
      </c>
      <c r="D204" s="1" t="s">
        <v>946</v>
      </c>
      <c r="E204" s="1" t="s">
        <v>947</v>
      </c>
      <c r="F204" s="1" t="s">
        <v>19</v>
      </c>
      <c r="H204" s="1" t="b">
        <v>0</v>
      </c>
      <c r="J204" s="1" t="s">
        <v>58</v>
      </c>
      <c r="K204" s="1" t="s">
        <v>58</v>
      </c>
      <c r="L204" s="1" t="s">
        <v>58</v>
      </c>
      <c r="M204" s="5" t="str">
        <f t="array" ref="M204">XLOOKUP(C204&amp;D204, 'Yellow Jacket Fundraising 25-26'!$A$2:$A$112 &amp; 'Yellow Jacket Fundraising 25-26'!$B$2:$B$112, 'Yellow Jacket Fundraising 25-26'!$G$2:$G$112, "Not Found")</f>
        <v>Not Found</v>
      </c>
      <c r="N204" s="1" t="s">
        <v>58</v>
      </c>
      <c r="O204" s="6" t="str">
        <f>vlookup(B204,'SF Roster'!A:G,7,false)</f>
        <v>#N/A</v>
      </c>
    </row>
    <row r="205" ht="15.75" customHeight="1">
      <c r="A205" s="1">
        <v>2041854.0</v>
      </c>
      <c r="B205" s="1" t="s">
        <v>948</v>
      </c>
      <c r="C205" s="1" t="s">
        <v>172</v>
      </c>
      <c r="D205" s="1" t="s">
        <v>949</v>
      </c>
      <c r="E205" s="1" t="s">
        <v>950</v>
      </c>
      <c r="F205" s="1" t="s">
        <v>19</v>
      </c>
      <c r="G205" s="1" t="s">
        <v>20</v>
      </c>
      <c r="H205" s="1" t="b">
        <v>1</v>
      </c>
      <c r="I205" s="1" t="s">
        <v>257</v>
      </c>
      <c r="J205" s="1" t="s">
        <v>951</v>
      </c>
      <c r="K205" s="1" t="s">
        <v>952</v>
      </c>
      <c r="L205" s="1" t="s">
        <v>953</v>
      </c>
      <c r="M205" s="5">
        <f t="array" ref="M205">XLOOKUP(C205&amp;D205, 'Yellow Jacket Fundraising 25-26'!$A$2:$A$112 &amp; 'Yellow Jacket Fundraising 25-26'!$B$2:$B$112, 'Yellow Jacket Fundraising 25-26'!$G$2:$G$112, "Not Found")</f>
        <v>16883</v>
      </c>
      <c r="N205" s="1" t="s">
        <v>58</v>
      </c>
      <c r="O205" s="6" t="str">
        <f>vlookup(B205,'SF Roster'!A:G,7,false)</f>
        <v>Committee Member</v>
      </c>
    </row>
    <row r="206" ht="15.75" customHeight="1">
      <c r="A206" s="1">
        <v>100493.0</v>
      </c>
      <c r="B206" s="1" t="s">
        <v>26</v>
      </c>
      <c r="C206" s="1" t="s">
        <v>189</v>
      </c>
      <c r="D206" s="1" t="s">
        <v>954</v>
      </c>
      <c r="E206" s="1" t="s">
        <v>955</v>
      </c>
      <c r="F206" s="1" t="s">
        <v>19</v>
      </c>
      <c r="H206" s="1" t="b">
        <v>0</v>
      </c>
      <c r="J206" s="1" t="s">
        <v>58</v>
      </c>
      <c r="K206" s="1" t="s">
        <v>58</v>
      </c>
      <c r="L206" s="1" t="s">
        <v>58</v>
      </c>
      <c r="M206" s="5" t="str">
        <f t="array" ref="M206">XLOOKUP(C206&amp;D206, 'Yellow Jacket Fundraising 25-26'!$A$2:$A$112 &amp; 'Yellow Jacket Fundraising 25-26'!$B$2:$B$112, 'Yellow Jacket Fundraising 25-26'!$G$2:$G$112, "Not Found")</f>
        <v>Not Found</v>
      </c>
      <c r="N206" s="1" t="s">
        <v>58</v>
      </c>
      <c r="O206" s="6" t="str">
        <f>vlookup(B206,'SF Roster'!A:G,7,false)</f>
        <v>#N/A</v>
      </c>
    </row>
    <row r="207" ht="15.75" customHeight="1">
      <c r="A207" s="1">
        <v>2041822.0</v>
      </c>
      <c r="B207" s="1" t="s">
        <v>26</v>
      </c>
      <c r="C207" s="1" t="s">
        <v>956</v>
      </c>
      <c r="D207" s="1" t="s">
        <v>957</v>
      </c>
      <c r="E207" s="1" t="s">
        <v>958</v>
      </c>
      <c r="F207" s="1" t="s">
        <v>19</v>
      </c>
      <c r="H207" s="1" t="b">
        <v>0</v>
      </c>
      <c r="J207" s="1" t="s">
        <v>58</v>
      </c>
      <c r="K207" s="1" t="s">
        <v>58</v>
      </c>
      <c r="L207" s="1" t="s">
        <v>58</v>
      </c>
      <c r="M207" s="5" t="str">
        <f t="array" ref="M207">XLOOKUP(C207&amp;D207, 'Yellow Jacket Fundraising 25-26'!$A$2:$A$112 &amp; 'Yellow Jacket Fundraising 25-26'!$B$2:$B$112, 'Yellow Jacket Fundraising 25-26'!$G$2:$G$112, "Not Found")</f>
        <v>Not Found</v>
      </c>
      <c r="N207" s="1" t="s">
        <v>58</v>
      </c>
      <c r="O207" s="6" t="str">
        <f>vlookup(B207,'SF Roster'!A:G,7,false)</f>
        <v>#N/A</v>
      </c>
    </row>
    <row r="208" ht="15.75" customHeight="1">
      <c r="A208" s="1">
        <v>2138141.0</v>
      </c>
      <c r="B208" s="1" t="s">
        <v>26</v>
      </c>
      <c r="C208" s="1" t="s">
        <v>85</v>
      </c>
      <c r="D208" s="1" t="s">
        <v>959</v>
      </c>
      <c r="E208" s="1" t="s">
        <v>960</v>
      </c>
      <c r="F208" s="1" t="s">
        <v>19</v>
      </c>
      <c r="G208" s="1" t="s">
        <v>30</v>
      </c>
      <c r="H208" s="1" t="b">
        <v>1</v>
      </c>
      <c r="I208" s="1" t="s">
        <v>122</v>
      </c>
      <c r="J208" s="1" t="s">
        <v>961</v>
      </c>
      <c r="K208" s="1" t="s">
        <v>962</v>
      </c>
      <c r="L208" s="1" t="s">
        <v>963</v>
      </c>
      <c r="M208" s="5" t="str">
        <f t="array" ref="M208">XLOOKUP(C208&amp;D208, 'Yellow Jacket Fundraising 25-26'!$A$2:$A$112 &amp; 'Yellow Jacket Fundraising 25-26'!$B$2:$B$112, 'Yellow Jacket Fundraising 25-26'!$G$2:$G$112, "Not Found")</f>
        <v>Future</v>
      </c>
      <c r="N208" s="1" t="s">
        <v>58</v>
      </c>
      <c r="O208" s="6" t="str">
        <f>vlookup(B208,'SF Roster'!A:G,7,false)</f>
        <v>#N/A</v>
      </c>
    </row>
    <row r="209" ht="15.75" customHeight="1">
      <c r="A209" s="1">
        <v>2044812.0</v>
      </c>
      <c r="B209" s="1" t="s">
        <v>964</v>
      </c>
      <c r="C209" s="1" t="s">
        <v>254</v>
      </c>
      <c r="D209" s="1" t="s">
        <v>965</v>
      </c>
      <c r="E209" s="1" t="s">
        <v>966</v>
      </c>
      <c r="F209" s="1" t="s">
        <v>19</v>
      </c>
      <c r="G209" s="1" t="s">
        <v>20</v>
      </c>
      <c r="H209" s="1" t="b">
        <v>1</v>
      </c>
      <c r="I209" s="1" t="s">
        <v>257</v>
      </c>
      <c r="J209" s="1" t="s">
        <v>967</v>
      </c>
      <c r="K209" s="1" t="s">
        <v>968</v>
      </c>
      <c r="L209" s="1" t="s">
        <v>969</v>
      </c>
      <c r="M209" s="5">
        <f t="array" ref="M209">XLOOKUP(C209&amp;D209, 'Yellow Jacket Fundraising 25-26'!$A$2:$A$112 &amp; 'Yellow Jacket Fundraising 25-26'!$B$2:$B$112, 'Yellow Jacket Fundraising 25-26'!$G$2:$G$112, "Not Found")</f>
        <v>15437</v>
      </c>
      <c r="N209" s="1" t="s">
        <v>58</v>
      </c>
      <c r="O209" s="6" t="str">
        <f>vlookup(B209,'SF Roster'!A:G,7,false)</f>
        <v>Committee Member</v>
      </c>
    </row>
    <row r="210" ht="15.75" customHeight="1">
      <c r="A210" s="1">
        <v>2041848.0</v>
      </c>
      <c r="B210" s="1" t="s">
        <v>970</v>
      </c>
      <c r="C210" s="1" t="s">
        <v>502</v>
      </c>
      <c r="D210" s="1" t="s">
        <v>971</v>
      </c>
      <c r="E210" s="1" t="s">
        <v>972</v>
      </c>
      <c r="F210" s="1" t="s">
        <v>19</v>
      </c>
      <c r="G210" s="1" t="s">
        <v>20</v>
      </c>
      <c r="H210" s="1" t="b">
        <v>1</v>
      </c>
      <c r="I210" s="1" t="s">
        <v>40</v>
      </c>
      <c r="J210" s="1" t="s">
        <v>973</v>
      </c>
      <c r="K210" s="1" t="s">
        <v>974</v>
      </c>
      <c r="L210" s="1" t="s">
        <v>975</v>
      </c>
      <c r="M210" s="5">
        <f t="array" ref="M210">XLOOKUP(C210&amp;D210, 'Yellow Jacket Fundraising 25-26'!$A$2:$A$112 &amp; 'Yellow Jacket Fundraising 25-26'!$B$2:$B$112, 'Yellow Jacket Fundraising 25-26'!$G$2:$G$112, "Not Found")</f>
        <v>21190</v>
      </c>
      <c r="N210" s="1" t="s">
        <v>58</v>
      </c>
      <c r="O210" s="6" t="str">
        <f>vlookup(B210,'SF Roster'!A:G,7,false)</f>
        <v>Committee Member</v>
      </c>
    </row>
    <row r="211" ht="15.75" customHeight="1">
      <c r="A211" s="1">
        <v>2095180.0</v>
      </c>
      <c r="B211" s="1" t="s">
        <v>26</v>
      </c>
      <c r="C211" s="1" t="s">
        <v>382</v>
      </c>
      <c r="D211" s="1" t="s">
        <v>976</v>
      </c>
      <c r="E211" s="1" t="s">
        <v>977</v>
      </c>
      <c r="F211" s="1" t="s">
        <v>19</v>
      </c>
      <c r="H211" s="1" t="b">
        <v>0</v>
      </c>
      <c r="J211" s="1" t="s">
        <v>58</v>
      </c>
      <c r="K211" s="1" t="s">
        <v>58</v>
      </c>
      <c r="L211" s="1" t="s">
        <v>58</v>
      </c>
      <c r="M211" s="5" t="str">
        <f t="array" ref="M211">XLOOKUP(C211&amp;D211, 'Yellow Jacket Fundraising 25-26'!$A$2:$A$112 &amp; 'Yellow Jacket Fundraising 25-26'!$B$2:$B$112, 'Yellow Jacket Fundraising 25-26'!$G$2:$G$112, "Not Found")</f>
        <v>Not Found</v>
      </c>
      <c r="N211" s="1" t="s">
        <v>58</v>
      </c>
      <c r="O211" s="6" t="str">
        <f>vlookup(B211,'SF Roster'!A:G,7,false)</f>
        <v>#N/A</v>
      </c>
    </row>
    <row r="212" ht="15.75" customHeight="1">
      <c r="A212" s="1">
        <v>2062884.0</v>
      </c>
      <c r="B212" s="1" t="s">
        <v>978</v>
      </c>
      <c r="C212" s="1" t="s">
        <v>979</v>
      </c>
      <c r="D212" s="1" t="s">
        <v>980</v>
      </c>
      <c r="E212" s="1" t="s">
        <v>981</v>
      </c>
      <c r="F212" s="1" t="s">
        <v>19</v>
      </c>
      <c r="G212" s="1" t="s">
        <v>20</v>
      </c>
      <c r="H212" s="1" t="b">
        <v>1</v>
      </c>
      <c r="I212" s="1" t="s">
        <v>136</v>
      </c>
      <c r="J212" s="1" t="s">
        <v>982</v>
      </c>
      <c r="K212" s="1" t="s">
        <v>983</v>
      </c>
      <c r="L212" s="1" t="s">
        <v>984</v>
      </c>
      <c r="M212" s="5" t="str">
        <f t="array" ref="M212">XLOOKUP(C212&amp;D212, 'Yellow Jacket Fundraising 25-26'!$A$2:$A$112 &amp; 'Yellow Jacket Fundraising 25-26'!$B$2:$B$112, 'Yellow Jacket Fundraising 25-26'!$G$2:$G$112, "Not Found")</f>
        <v>$ -</v>
      </c>
      <c r="N212" s="1" t="s">
        <v>58</v>
      </c>
      <c r="O212" s="6" t="str">
        <f>vlookup(B212,'SF Roster'!A:G,7,false)</f>
        <v>Committee Member</v>
      </c>
    </row>
    <row r="213" ht="15.75" customHeight="1">
      <c r="A213" s="1">
        <v>100270.0</v>
      </c>
      <c r="B213" s="1" t="s">
        <v>985</v>
      </c>
      <c r="C213" s="1" t="s">
        <v>631</v>
      </c>
      <c r="D213" s="1" t="s">
        <v>986</v>
      </c>
      <c r="E213" s="1" t="s">
        <v>987</v>
      </c>
      <c r="F213" s="1" t="s">
        <v>19</v>
      </c>
      <c r="G213" s="1" t="s">
        <v>20</v>
      </c>
      <c r="H213" s="1" t="b">
        <v>1</v>
      </c>
      <c r="I213" s="1" t="s">
        <v>21</v>
      </c>
      <c r="J213" s="1" t="s">
        <v>988</v>
      </c>
      <c r="K213" s="1" t="s">
        <v>989</v>
      </c>
      <c r="L213" s="1" t="s">
        <v>990</v>
      </c>
      <c r="M213" s="5">
        <f t="array" ref="M213">XLOOKUP(C213&amp;D213, 'Yellow Jacket Fundraising 25-26'!$A$2:$A$112 &amp; 'Yellow Jacket Fundraising 25-26'!$B$2:$B$112, 'Yellow Jacket Fundraising 25-26'!$G$2:$G$112, "Not Found")</f>
        <v>12314</v>
      </c>
      <c r="N213" s="1" t="s">
        <v>58</v>
      </c>
      <c r="O213" s="6" t="str">
        <f>vlookup(B213,'SF Roster'!A:G,7,false)</f>
        <v>Committee Member</v>
      </c>
    </row>
    <row r="214" ht="15.75" customHeight="1">
      <c r="A214" s="1">
        <v>97557.0</v>
      </c>
      <c r="B214" s="1" t="s">
        <v>991</v>
      </c>
      <c r="C214" s="1" t="s">
        <v>405</v>
      </c>
      <c r="D214" s="1" t="s">
        <v>992</v>
      </c>
      <c r="E214" s="1" t="s">
        <v>993</v>
      </c>
      <c r="F214" s="1" t="s">
        <v>19</v>
      </c>
      <c r="G214" s="1" t="s">
        <v>20</v>
      </c>
      <c r="H214" s="1" t="b">
        <v>1</v>
      </c>
      <c r="I214" s="1" t="s">
        <v>31</v>
      </c>
      <c r="J214" s="1" t="s">
        <v>994</v>
      </c>
      <c r="K214" s="1" t="s">
        <v>995</v>
      </c>
      <c r="L214" s="1" t="s">
        <v>996</v>
      </c>
      <c r="M214" s="5">
        <f t="array" ref="M214">XLOOKUP(C214&amp;D214, 'Yellow Jacket Fundraising 25-26'!$A$2:$A$112 &amp; 'Yellow Jacket Fundraising 25-26'!$B$2:$B$112, 'Yellow Jacket Fundraising 25-26'!$G$2:$G$112, "Not Found")</f>
        <v>120306</v>
      </c>
      <c r="N214" s="1" t="s">
        <v>58</v>
      </c>
      <c r="O214" s="6" t="str">
        <f>vlookup(B214,'SF Roster'!A:G,7,false)</f>
        <v>Committee Member</v>
      </c>
    </row>
    <row r="215" ht="15.75" customHeight="1">
      <c r="A215" s="1">
        <v>2041842.0</v>
      </c>
      <c r="B215" s="1" t="s">
        <v>997</v>
      </c>
      <c r="C215" s="1" t="s">
        <v>254</v>
      </c>
      <c r="D215" s="1" t="s">
        <v>998</v>
      </c>
      <c r="E215" s="1" t="s">
        <v>999</v>
      </c>
      <c r="F215" s="1" t="s">
        <v>19</v>
      </c>
      <c r="G215" s="1" t="s">
        <v>20</v>
      </c>
      <c r="H215" s="1" t="b">
        <v>1</v>
      </c>
      <c r="I215" s="1" t="s">
        <v>329</v>
      </c>
      <c r="J215" s="1" t="s">
        <v>1000</v>
      </c>
      <c r="K215" s="1" t="s">
        <v>1001</v>
      </c>
      <c r="L215" s="1" t="s">
        <v>1002</v>
      </c>
      <c r="M215" s="5">
        <f t="array" ref="M215">XLOOKUP(C215&amp;D215, 'Yellow Jacket Fundraising 25-26'!$A$2:$A$112 &amp; 'Yellow Jacket Fundraising 25-26'!$B$2:$B$112, 'Yellow Jacket Fundraising 25-26'!$G$2:$G$112, "Not Found")</f>
        <v>21112</v>
      </c>
      <c r="N215" s="1" t="s">
        <v>58</v>
      </c>
      <c r="O215" s="6" t="str">
        <f>vlookup(B215,'SF Roster'!A:G,7,false)</f>
        <v>Committee Member</v>
      </c>
    </row>
    <row r="216" ht="15.75" customHeight="1">
      <c r="A216" s="1">
        <v>2041782.0</v>
      </c>
      <c r="B216" s="1" t="s">
        <v>1003</v>
      </c>
      <c r="C216" s="1" t="s">
        <v>679</v>
      </c>
      <c r="D216" s="1" t="s">
        <v>1004</v>
      </c>
      <c r="E216" s="1" t="s">
        <v>1005</v>
      </c>
      <c r="F216" s="1" t="s">
        <v>19</v>
      </c>
      <c r="G216" s="1" t="s">
        <v>20</v>
      </c>
      <c r="H216" s="1" t="b">
        <v>1</v>
      </c>
      <c r="I216" s="1" t="s">
        <v>110</v>
      </c>
      <c r="J216" s="1" t="s">
        <v>1006</v>
      </c>
      <c r="K216" s="1" t="s">
        <v>1007</v>
      </c>
      <c r="L216" s="1" t="s">
        <v>1008</v>
      </c>
      <c r="M216" s="5">
        <f t="array" ref="M216">XLOOKUP(C216&amp;D216, 'Yellow Jacket Fundraising 25-26'!$A$2:$A$112 &amp; 'Yellow Jacket Fundraising 25-26'!$B$2:$B$112, 'Yellow Jacket Fundraising 25-26'!$G$2:$G$112, "Not Found")</f>
        <v>29428</v>
      </c>
      <c r="N216" s="1" t="s">
        <v>58</v>
      </c>
      <c r="O216" s="6" t="str">
        <f>vlookup(B216,'SF Roster'!A:G,7,false)</f>
        <v>Committee Member</v>
      </c>
    </row>
    <row r="217" ht="15.75" customHeight="1">
      <c r="A217" s="1">
        <v>2041788.0</v>
      </c>
      <c r="B217" s="1" t="s">
        <v>1009</v>
      </c>
      <c r="C217" s="1" t="s">
        <v>1010</v>
      </c>
      <c r="D217" s="1" t="s">
        <v>1011</v>
      </c>
      <c r="E217" s="1" t="s">
        <v>1012</v>
      </c>
      <c r="F217" s="1" t="s">
        <v>19</v>
      </c>
      <c r="G217" s="1" t="s">
        <v>20</v>
      </c>
      <c r="H217" s="1" t="b">
        <v>1</v>
      </c>
      <c r="I217" s="1" t="s">
        <v>217</v>
      </c>
      <c r="J217" s="1" t="s">
        <v>1013</v>
      </c>
      <c r="K217" s="1" t="s">
        <v>1014</v>
      </c>
      <c r="L217" s="1" t="s">
        <v>1015</v>
      </c>
      <c r="M217" s="5">
        <f t="array" ref="M217">XLOOKUP(C217&amp;D217, 'Yellow Jacket Fundraising 25-26'!$A$2:$A$112 &amp; 'Yellow Jacket Fundraising 25-26'!$B$2:$B$112, 'Yellow Jacket Fundraising 25-26'!$G$2:$G$112, "Not Found")</f>
        <v>10736</v>
      </c>
      <c r="N217" s="1" t="s">
        <v>58</v>
      </c>
      <c r="O217" s="6" t="str">
        <f>vlookup(B217,'SF Roster'!A:G,7,false)</f>
        <v>Committee Member</v>
      </c>
    </row>
    <row r="218" ht="15.75" customHeight="1">
      <c r="A218" s="1">
        <v>2041834.0</v>
      </c>
      <c r="B218" s="1" t="s">
        <v>1016</v>
      </c>
      <c r="C218" s="1" t="s">
        <v>1017</v>
      </c>
      <c r="D218" s="1" t="s">
        <v>1011</v>
      </c>
      <c r="E218" s="1" t="s">
        <v>1018</v>
      </c>
      <c r="F218" s="1" t="s">
        <v>19</v>
      </c>
      <c r="G218" s="1" t="s">
        <v>20</v>
      </c>
      <c r="H218" s="1" t="b">
        <v>1</v>
      </c>
      <c r="I218" s="1" t="s">
        <v>257</v>
      </c>
      <c r="J218" s="1" t="s">
        <v>1019</v>
      </c>
      <c r="K218" s="1" t="s">
        <v>1020</v>
      </c>
      <c r="L218" s="1" t="s">
        <v>1021</v>
      </c>
      <c r="M218" s="5">
        <f t="array" ref="M218">XLOOKUP(C218&amp;D218, 'Yellow Jacket Fundraising 25-26'!$A$2:$A$112 &amp; 'Yellow Jacket Fundraising 25-26'!$B$2:$B$112, 'Yellow Jacket Fundraising 25-26'!$G$2:$G$112, "Not Found")</f>
        <v>10875</v>
      </c>
      <c r="N218" s="1" t="s">
        <v>58</v>
      </c>
      <c r="O218" s="6" t="str">
        <f>vlookup(B218,'SF Roster'!A:G,7,false)</f>
        <v>Committee Member</v>
      </c>
    </row>
    <row r="219" ht="15.75" customHeight="1">
      <c r="A219" s="1">
        <v>2095100.0</v>
      </c>
      <c r="B219" s="1" t="s">
        <v>1022</v>
      </c>
      <c r="C219" s="1" t="s">
        <v>371</v>
      </c>
      <c r="D219" s="1" t="s">
        <v>1023</v>
      </c>
      <c r="E219" s="1" t="s">
        <v>1024</v>
      </c>
      <c r="F219" s="1" t="s">
        <v>19</v>
      </c>
      <c r="G219" s="1" t="s">
        <v>20</v>
      </c>
      <c r="H219" s="1" t="b">
        <v>1</v>
      </c>
      <c r="J219" s="1" t="s">
        <v>1025</v>
      </c>
      <c r="K219" s="1" t="s">
        <v>1026</v>
      </c>
      <c r="L219" s="1" t="s">
        <v>1027</v>
      </c>
      <c r="M219" s="5">
        <f t="array" ref="M219">XLOOKUP(C219&amp;D219, 'Yellow Jacket Fundraising 25-26'!$A$2:$A$112 &amp; 'Yellow Jacket Fundraising 25-26'!$B$2:$B$112, 'Yellow Jacket Fundraising 25-26'!$G$2:$G$112, "Not Found")</f>
        <v>1829</v>
      </c>
      <c r="N219" s="1" t="s">
        <v>58</v>
      </c>
      <c r="O219" s="6" t="str">
        <f>vlookup(B219,'SF Roster'!A:G,7,false)</f>
        <v>Committee Member</v>
      </c>
    </row>
    <row r="220" ht="15.75" customHeight="1">
      <c r="A220" s="1">
        <v>2095199.0</v>
      </c>
      <c r="B220" s="1" t="s">
        <v>26</v>
      </c>
      <c r="C220" s="1" t="s">
        <v>579</v>
      </c>
      <c r="D220" s="1" t="s">
        <v>1028</v>
      </c>
      <c r="E220" s="1" t="s">
        <v>1029</v>
      </c>
      <c r="F220" s="1" t="s">
        <v>56</v>
      </c>
      <c r="G220" s="1" t="s">
        <v>57</v>
      </c>
      <c r="H220" s="1" t="b">
        <v>1</v>
      </c>
      <c r="J220" s="1" t="s">
        <v>58</v>
      </c>
      <c r="K220" s="1" t="s">
        <v>58</v>
      </c>
      <c r="L220" s="1" t="s">
        <v>58</v>
      </c>
      <c r="M220" s="5" t="str">
        <f t="array" ref="M220">XLOOKUP(C220&amp;D220, 'Yellow Jacket Fundraising 25-26'!$A$2:$A$112 &amp; 'Yellow Jacket Fundraising 25-26'!$B$2:$B$112, 'Yellow Jacket Fundraising 25-26'!$G$2:$G$112, "Not Found")</f>
        <v>Not Found</v>
      </c>
      <c r="N220" s="1" t="s">
        <v>58</v>
      </c>
      <c r="O220" s="6" t="str">
        <f>vlookup(B220,'SF Roster'!A:G,7,false)</f>
        <v>#N/A</v>
      </c>
    </row>
    <row r="221" ht="15.75" customHeight="1">
      <c r="A221" s="1">
        <v>2095192.0</v>
      </c>
      <c r="B221" s="1" t="s">
        <v>26</v>
      </c>
      <c r="C221" s="1" t="s">
        <v>1030</v>
      </c>
      <c r="D221" s="1" t="s">
        <v>1031</v>
      </c>
      <c r="E221" s="1" t="s">
        <v>1032</v>
      </c>
      <c r="F221" s="1" t="s">
        <v>80</v>
      </c>
      <c r="G221" s="1" t="s">
        <v>81</v>
      </c>
      <c r="H221" s="1" t="b">
        <v>1</v>
      </c>
      <c r="J221" s="1" t="s">
        <v>58</v>
      </c>
      <c r="K221" s="1" t="s">
        <v>58</v>
      </c>
      <c r="L221" s="1" t="s">
        <v>58</v>
      </c>
      <c r="M221" s="5" t="str">
        <f t="array" ref="M221">XLOOKUP(C221&amp;D221, 'Yellow Jacket Fundraising 25-26'!$A$2:$A$112 &amp; 'Yellow Jacket Fundraising 25-26'!$B$2:$B$112, 'Yellow Jacket Fundraising 25-26'!$G$2:$G$112, "Not Found")</f>
        <v>Not Found</v>
      </c>
      <c r="N221" s="1" t="s">
        <v>58</v>
      </c>
      <c r="O221" s="6" t="str">
        <f>vlookup(B221,'SF Roster'!A:G,7,false)</f>
        <v>#N/A</v>
      </c>
    </row>
    <row r="222" ht="15.75" customHeight="1">
      <c r="A222" s="1">
        <v>2062823.0</v>
      </c>
      <c r="B222" s="1" t="s">
        <v>26</v>
      </c>
      <c r="C222" s="1" t="s">
        <v>1033</v>
      </c>
      <c r="D222" s="1" t="s">
        <v>1034</v>
      </c>
      <c r="E222" s="1" t="s">
        <v>1035</v>
      </c>
      <c r="F222" s="1" t="s">
        <v>19</v>
      </c>
      <c r="H222" s="1" t="b">
        <v>0</v>
      </c>
      <c r="J222" s="1" t="s">
        <v>58</v>
      </c>
      <c r="K222" s="1" t="s">
        <v>58</v>
      </c>
      <c r="L222" s="1" t="s">
        <v>58</v>
      </c>
      <c r="M222" s="5" t="str">
        <f t="array" ref="M222">XLOOKUP(C222&amp;D222, 'Yellow Jacket Fundraising 25-26'!$A$2:$A$112 &amp; 'Yellow Jacket Fundraising 25-26'!$B$2:$B$112, 'Yellow Jacket Fundraising 25-26'!$G$2:$G$112, "Not Found")</f>
        <v>Not Found</v>
      </c>
      <c r="N222" s="1" t="s">
        <v>58</v>
      </c>
      <c r="O222" s="6" t="str">
        <f>vlookup(B222,'SF Roster'!A:G,7,false)</f>
        <v>#N/A</v>
      </c>
    </row>
    <row r="223" ht="15.75" customHeight="1">
      <c r="A223" s="1">
        <v>2041800.0</v>
      </c>
      <c r="B223" s="1" t="s">
        <v>1036</v>
      </c>
      <c r="C223" s="1" t="s">
        <v>1037</v>
      </c>
      <c r="D223" s="1" t="s">
        <v>1038</v>
      </c>
      <c r="E223" s="1" t="s">
        <v>1039</v>
      </c>
      <c r="F223" s="1" t="s">
        <v>19</v>
      </c>
      <c r="G223" s="1" t="s">
        <v>20</v>
      </c>
      <c r="H223" s="1" t="b">
        <v>1</v>
      </c>
      <c r="I223" s="1" t="s">
        <v>99</v>
      </c>
      <c r="J223" s="1" t="s">
        <v>1040</v>
      </c>
      <c r="K223" s="1" t="s">
        <v>1041</v>
      </c>
      <c r="L223" s="1" t="s">
        <v>1042</v>
      </c>
      <c r="M223" s="5">
        <f t="array" ref="M223">XLOOKUP(C223&amp;D223, 'Yellow Jacket Fundraising 25-26'!$A$2:$A$112 &amp; 'Yellow Jacket Fundraising 25-26'!$B$2:$B$112, 'Yellow Jacket Fundraising 25-26'!$G$2:$G$112, "Not Found")</f>
        <v>46585</v>
      </c>
      <c r="N223" s="1" t="s">
        <v>58</v>
      </c>
      <c r="O223" s="6" t="str">
        <f>vlookup(B223,'SF Roster'!A:G,7,false)</f>
        <v>Committee Member</v>
      </c>
    </row>
    <row r="224" ht="15.75" customHeight="1">
      <c r="A224" s="1">
        <v>85706.0</v>
      </c>
      <c r="B224" s="1" t="s">
        <v>1043</v>
      </c>
      <c r="C224" s="1" t="s">
        <v>1044</v>
      </c>
      <c r="D224" s="1" t="s">
        <v>1045</v>
      </c>
      <c r="E224" s="1" t="s">
        <v>1046</v>
      </c>
      <c r="F224" s="1" t="s">
        <v>19</v>
      </c>
      <c r="G224" s="1" t="s">
        <v>20</v>
      </c>
      <c r="H224" s="1" t="b">
        <v>1</v>
      </c>
      <c r="I224" s="1" t="s">
        <v>31</v>
      </c>
      <c r="J224" s="1" t="s">
        <v>1047</v>
      </c>
      <c r="K224" s="1" t="s">
        <v>1048</v>
      </c>
      <c r="L224" s="1" t="s">
        <v>1049</v>
      </c>
      <c r="M224" s="5">
        <f t="array" ref="M224">XLOOKUP(C224&amp;D224, 'Yellow Jacket Fundraising 25-26'!$A$2:$A$112 &amp; 'Yellow Jacket Fundraising 25-26'!$B$2:$B$112, 'Yellow Jacket Fundraising 25-26'!$G$2:$G$112, "Not Found")</f>
        <v>19565</v>
      </c>
      <c r="N224" s="1" t="s">
        <v>58</v>
      </c>
      <c r="O224" s="6" t="str">
        <f>vlookup(B224,'SF Roster'!A:G,7,false)</f>
        <v>Committee Member</v>
      </c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1</v>
      </c>
      <c r="B1" s="10"/>
      <c r="C1" s="11" t="s">
        <v>2</v>
      </c>
      <c r="D1" s="11" t="s">
        <v>3</v>
      </c>
      <c r="E1" s="11" t="s">
        <v>1050</v>
      </c>
      <c r="F1" s="11" t="s">
        <v>1051</v>
      </c>
      <c r="G1" s="11" t="s">
        <v>1052</v>
      </c>
    </row>
    <row r="2">
      <c r="A2" s="12" t="s">
        <v>15</v>
      </c>
      <c r="B2" s="10"/>
      <c r="C2" s="13" t="s">
        <v>16</v>
      </c>
      <c r="D2" s="13" t="s">
        <v>17</v>
      </c>
      <c r="E2" s="13" t="s">
        <v>122</v>
      </c>
      <c r="F2" s="13" t="s">
        <v>1053</v>
      </c>
      <c r="G2" s="13" t="s">
        <v>20</v>
      </c>
    </row>
    <row r="3">
      <c r="A3" s="12" t="s">
        <v>36</v>
      </c>
      <c r="B3" s="10"/>
      <c r="C3" s="13" t="s">
        <v>37</v>
      </c>
      <c r="D3" s="13" t="s">
        <v>38</v>
      </c>
      <c r="E3" s="13" t="s">
        <v>40</v>
      </c>
      <c r="F3" s="13" t="s">
        <v>1054</v>
      </c>
      <c r="G3" s="13" t="s">
        <v>20</v>
      </c>
    </row>
    <row r="4">
      <c r="A4" s="12" t="s">
        <v>45</v>
      </c>
      <c r="B4" s="10"/>
      <c r="C4" s="13" t="s">
        <v>46</v>
      </c>
      <c r="D4" s="13" t="s">
        <v>47</v>
      </c>
      <c r="E4" s="13" t="s">
        <v>329</v>
      </c>
      <c r="F4" s="13" t="s">
        <v>1053</v>
      </c>
      <c r="G4" s="13" t="s">
        <v>20</v>
      </c>
    </row>
    <row r="5">
      <c r="A5" s="12" t="s">
        <v>68</v>
      </c>
      <c r="B5" s="10"/>
      <c r="C5" s="13" t="s">
        <v>69</v>
      </c>
      <c r="D5" s="13" t="s">
        <v>70</v>
      </c>
      <c r="E5" s="13" t="s">
        <v>110</v>
      </c>
      <c r="F5" s="13" t="s">
        <v>1055</v>
      </c>
      <c r="G5" s="13" t="s">
        <v>20</v>
      </c>
    </row>
    <row r="6">
      <c r="A6" s="12" t="s">
        <v>95</v>
      </c>
      <c r="B6" s="10"/>
      <c r="C6" s="13" t="s">
        <v>96</v>
      </c>
      <c r="D6" s="13" t="s">
        <v>97</v>
      </c>
      <c r="E6" s="13" t="s">
        <v>21</v>
      </c>
      <c r="F6" s="13" t="s">
        <v>1056</v>
      </c>
      <c r="G6" s="13" t="s">
        <v>20</v>
      </c>
    </row>
    <row r="7">
      <c r="A7" s="12" t="s">
        <v>107</v>
      </c>
      <c r="B7" s="10"/>
      <c r="C7" s="13" t="s">
        <v>89</v>
      </c>
      <c r="D7" s="13" t="s">
        <v>108</v>
      </c>
      <c r="E7" s="13" t="s">
        <v>122</v>
      </c>
      <c r="F7" s="13" t="s">
        <v>1057</v>
      </c>
      <c r="G7" s="13" t="s">
        <v>20</v>
      </c>
    </row>
    <row r="8">
      <c r="A8" s="12" t="s">
        <v>118</v>
      </c>
      <c r="B8" s="10"/>
      <c r="C8" s="13" t="s">
        <v>119</v>
      </c>
      <c r="D8" s="13" t="s">
        <v>120</v>
      </c>
      <c r="E8" s="13" t="s">
        <v>21</v>
      </c>
      <c r="F8" s="13" t="s">
        <v>1056</v>
      </c>
      <c r="G8" s="13" t="s">
        <v>20</v>
      </c>
    </row>
    <row r="9">
      <c r="A9" s="12" t="s">
        <v>132</v>
      </c>
      <c r="B9" s="10"/>
      <c r="C9" s="13" t="s">
        <v>133</v>
      </c>
      <c r="D9" s="13" t="s">
        <v>134</v>
      </c>
      <c r="E9" s="13" t="s">
        <v>217</v>
      </c>
      <c r="F9" s="13" t="s">
        <v>1057</v>
      </c>
      <c r="G9" s="13" t="s">
        <v>20</v>
      </c>
    </row>
    <row r="10">
      <c r="A10" s="12" t="s">
        <v>145</v>
      </c>
      <c r="B10" s="10"/>
      <c r="C10" s="13" t="s">
        <v>146</v>
      </c>
      <c r="D10" s="13" t="s">
        <v>147</v>
      </c>
      <c r="E10" s="13" t="s">
        <v>40</v>
      </c>
      <c r="F10" s="13" t="s">
        <v>1058</v>
      </c>
      <c r="G10" s="13" t="s">
        <v>20</v>
      </c>
    </row>
    <row r="11">
      <c r="A11" s="12" t="s">
        <v>153</v>
      </c>
      <c r="B11" s="10"/>
      <c r="C11" s="13" t="s">
        <v>154</v>
      </c>
      <c r="D11" s="13" t="s">
        <v>155</v>
      </c>
      <c r="E11" s="13" t="s">
        <v>40</v>
      </c>
      <c r="F11" s="13" t="s">
        <v>1056</v>
      </c>
      <c r="G11" s="13" t="s">
        <v>20</v>
      </c>
    </row>
    <row r="12">
      <c r="A12" s="12" t="s">
        <v>175</v>
      </c>
      <c r="B12" s="10"/>
      <c r="C12" s="13" t="s">
        <v>176</v>
      </c>
      <c r="D12" s="13" t="s">
        <v>177</v>
      </c>
      <c r="E12" s="13" t="s">
        <v>329</v>
      </c>
      <c r="F12" s="13" t="s">
        <v>1059</v>
      </c>
      <c r="G12" s="13" t="s">
        <v>20</v>
      </c>
    </row>
    <row r="13">
      <c r="A13" s="12" t="s">
        <v>206</v>
      </c>
      <c r="B13" s="10"/>
      <c r="C13" s="13" t="s">
        <v>207</v>
      </c>
      <c r="D13" s="13" t="s">
        <v>208</v>
      </c>
      <c r="E13" s="13" t="s">
        <v>257</v>
      </c>
      <c r="F13" s="13" t="s">
        <v>1060</v>
      </c>
      <c r="G13" s="13" t="s">
        <v>20</v>
      </c>
    </row>
    <row r="14">
      <c r="A14" s="12" t="s">
        <v>214</v>
      </c>
      <c r="B14" s="10"/>
      <c r="C14" s="13" t="s">
        <v>65</v>
      </c>
      <c r="D14" s="13" t="s">
        <v>215</v>
      </c>
      <c r="E14" s="13" t="s">
        <v>136</v>
      </c>
      <c r="F14" s="13" t="s">
        <v>1053</v>
      </c>
      <c r="G14" s="13" t="s">
        <v>20</v>
      </c>
    </row>
    <row r="15">
      <c r="A15" s="12" t="s">
        <v>221</v>
      </c>
      <c r="B15" s="10"/>
      <c r="C15" s="13" t="s">
        <v>222</v>
      </c>
      <c r="D15" s="13" t="s">
        <v>215</v>
      </c>
      <c r="E15" s="13" t="s">
        <v>110</v>
      </c>
      <c r="F15" s="13" t="s">
        <v>1057</v>
      </c>
      <c r="G15" s="13" t="s">
        <v>20</v>
      </c>
    </row>
    <row r="16">
      <c r="A16" s="12" t="s">
        <v>227</v>
      </c>
      <c r="B16" s="10"/>
      <c r="C16" s="13" t="s">
        <v>77</v>
      </c>
      <c r="D16" s="13" t="s">
        <v>228</v>
      </c>
      <c r="E16" s="13" t="s">
        <v>217</v>
      </c>
      <c r="F16" s="13" t="s">
        <v>1061</v>
      </c>
      <c r="G16" s="13" t="s">
        <v>20</v>
      </c>
    </row>
    <row r="17">
      <c r="A17" s="12" t="s">
        <v>234</v>
      </c>
      <c r="B17" s="10"/>
      <c r="C17" s="13" t="s">
        <v>235</v>
      </c>
      <c r="D17" s="13" t="s">
        <v>236</v>
      </c>
      <c r="E17" s="13" t="s">
        <v>21</v>
      </c>
      <c r="F17" s="13" t="s">
        <v>1054</v>
      </c>
      <c r="G17" s="13" t="s">
        <v>20</v>
      </c>
    </row>
    <row r="18">
      <c r="A18" s="12" t="s">
        <v>253</v>
      </c>
      <c r="B18" s="10"/>
      <c r="C18" s="13" t="s">
        <v>254</v>
      </c>
      <c r="D18" s="13" t="s">
        <v>255</v>
      </c>
      <c r="E18" s="13" t="s">
        <v>49</v>
      </c>
      <c r="F18" s="13" t="s">
        <v>1059</v>
      </c>
      <c r="G18" s="13" t="s">
        <v>20</v>
      </c>
    </row>
    <row r="19">
      <c r="A19" s="12" t="s">
        <v>264</v>
      </c>
      <c r="B19" s="10"/>
      <c r="C19" s="13" t="s">
        <v>265</v>
      </c>
      <c r="D19" s="13" t="s">
        <v>266</v>
      </c>
      <c r="E19" s="13" t="s">
        <v>329</v>
      </c>
      <c r="F19" s="13" t="s">
        <v>1060</v>
      </c>
      <c r="G19" s="13" t="s">
        <v>20</v>
      </c>
    </row>
    <row r="20">
      <c r="A20" s="12" t="s">
        <v>271</v>
      </c>
      <c r="B20" s="10"/>
      <c r="C20" s="13" t="s">
        <v>272</v>
      </c>
      <c r="D20" s="13" t="s">
        <v>273</v>
      </c>
      <c r="E20" s="13" t="s">
        <v>40</v>
      </c>
      <c r="F20" s="13" t="s">
        <v>1057</v>
      </c>
      <c r="G20" s="13" t="s">
        <v>20</v>
      </c>
    </row>
    <row r="21">
      <c r="A21" s="12" t="s">
        <v>290</v>
      </c>
      <c r="B21" s="10"/>
      <c r="C21" s="13" t="s">
        <v>291</v>
      </c>
      <c r="D21" s="13" t="s">
        <v>292</v>
      </c>
      <c r="E21" s="13" t="s">
        <v>329</v>
      </c>
      <c r="F21" s="13" t="s">
        <v>1059</v>
      </c>
      <c r="G21" s="13" t="s">
        <v>20</v>
      </c>
    </row>
    <row r="22">
      <c r="A22" s="12" t="s">
        <v>307</v>
      </c>
      <c r="B22" s="10"/>
      <c r="C22" s="13" t="s">
        <v>308</v>
      </c>
      <c r="D22" s="13" t="s">
        <v>309</v>
      </c>
      <c r="E22" s="13" t="s">
        <v>21</v>
      </c>
      <c r="F22" s="13" t="s">
        <v>1056</v>
      </c>
      <c r="G22" s="13" t="s">
        <v>20</v>
      </c>
    </row>
    <row r="23">
      <c r="A23" s="12" t="s">
        <v>317</v>
      </c>
      <c r="B23" s="10"/>
      <c r="C23" s="13" t="s">
        <v>318</v>
      </c>
      <c r="D23" s="13" t="s">
        <v>319</v>
      </c>
      <c r="E23" s="13" t="s">
        <v>49</v>
      </c>
      <c r="F23" s="13" t="s">
        <v>1062</v>
      </c>
      <c r="G23" s="13" t="s">
        <v>20</v>
      </c>
    </row>
    <row r="24">
      <c r="A24" s="12" t="s">
        <v>325</v>
      </c>
      <c r="B24" s="10"/>
      <c r="C24" s="13" t="s">
        <v>326</v>
      </c>
      <c r="D24" s="13" t="s">
        <v>327</v>
      </c>
      <c r="E24" s="13" t="s">
        <v>99</v>
      </c>
      <c r="F24" s="13" t="s">
        <v>1059</v>
      </c>
      <c r="G24" s="13" t="s">
        <v>20</v>
      </c>
    </row>
    <row r="25">
      <c r="A25" s="12" t="s">
        <v>342</v>
      </c>
      <c r="B25" s="10"/>
      <c r="C25" s="13" t="s">
        <v>176</v>
      </c>
      <c r="D25" s="13" t="s">
        <v>343</v>
      </c>
      <c r="E25" s="13" t="s">
        <v>110</v>
      </c>
      <c r="F25" s="13" t="s">
        <v>1053</v>
      </c>
      <c r="G25" s="13" t="s">
        <v>20</v>
      </c>
    </row>
    <row r="26">
      <c r="A26" s="12" t="s">
        <v>348</v>
      </c>
      <c r="B26" s="10"/>
      <c r="C26" s="13" t="s">
        <v>349</v>
      </c>
      <c r="D26" s="13" t="s">
        <v>350</v>
      </c>
      <c r="E26" s="13" t="s">
        <v>21</v>
      </c>
      <c r="F26" s="13" t="s">
        <v>1060</v>
      </c>
      <c r="G26" s="13" t="s">
        <v>20</v>
      </c>
    </row>
    <row r="27">
      <c r="A27" s="12" t="s">
        <v>359</v>
      </c>
      <c r="B27" s="10"/>
      <c r="C27" s="13" t="s">
        <v>77</v>
      </c>
      <c r="D27" s="13" t="s">
        <v>360</v>
      </c>
      <c r="E27" s="13" t="s">
        <v>110</v>
      </c>
      <c r="F27" s="13" t="s">
        <v>1056</v>
      </c>
      <c r="G27" s="13" t="s">
        <v>20</v>
      </c>
    </row>
    <row r="28">
      <c r="A28" s="12" t="s">
        <v>385</v>
      </c>
      <c r="B28" s="10"/>
      <c r="C28" s="13" t="s">
        <v>386</v>
      </c>
      <c r="D28" s="13" t="s">
        <v>387</v>
      </c>
      <c r="E28" s="13" t="s">
        <v>217</v>
      </c>
      <c r="F28" s="13" t="s">
        <v>1063</v>
      </c>
      <c r="G28" s="13" t="s">
        <v>20</v>
      </c>
    </row>
    <row r="29">
      <c r="A29" s="12" t="s">
        <v>398</v>
      </c>
      <c r="B29" s="10"/>
      <c r="C29" s="13" t="s">
        <v>399</v>
      </c>
      <c r="D29" s="13" t="s">
        <v>393</v>
      </c>
      <c r="E29" s="13" t="s">
        <v>257</v>
      </c>
      <c r="F29" s="13" t="s">
        <v>1059</v>
      </c>
      <c r="G29" s="13" t="s">
        <v>20</v>
      </c>
    </row>
    <row r="30">
      <c r="A30" s="12" t="s">
        <v>392</v>
      </c>
      <c r="B30" s="10"/>
      <c r="C30" s="13" t="s">
        <v>77</v>
      </c>
      <c r="D30" s="13" t="s">
        <v>393</v>
      </c>
      <c r="E30" s="13" t="s">
        <v>40</v>
      </c>
      <c r="F30" s="13" t="s">
        <v>1058</v>
      </c>
      <c r="G30" s="13" t="s">
        <v>20</v>
      </c>
    </row>
    <row r="31">
      <c r="A31" s="12" t="s">
        <v>404</v>
      </c>
      <c r="B31" s="10"/>
      <c r="C31" s="13" t="s">
        <v>405</v>
      </c>
      <c r="D31" s="13" t="s">
        <v>406</v>
      </c>
      <c r="E31" s="13" t="s">
        <v>99</v>
      </c>
      <c r="F31" s="13" t="s">
        <v>1060</v>
      </c>
      <c r="G31" s="13" t="s">
        <v>20</v>
      </c>
    </row>
    <row r="32">
      <c r="A32" s="12" t="s">
        <v>413</v>
      </c>
      <c r="B32" s="10"/>
      <c r="C32" s="13" t="s">
        <v>318</v>
      </c>
      <c r="D32" s="13" t="s">
        <v>414</v>
      </c>
      <c r="E32" s="13" t="s">
        <v>217</v>
      </c>
      <c r="F32" s="13" t="s">
        <v>1058</v>
      </c>
      <c r="G32" s="13" t="s">
        <v>20</v>
      </c>
    </row>
    <row r="33">
      <c r="A33" s="12" t="s">
        <v>423</v>
      </c>
      <c r="B33" s="10"/>
      <c r="C33" s="13" t="s">
        <v>424</v>
      </c>
      <c r="D33" s="13" t="s">
        <v>425</v>
      </c>
      <c r="E33" s="13" t="s">
        <v>110</v>
      </c>
      <c r="F33" s="13" t="s">
        <v>1057</v>
      </c>
      <c r="G33" s="13" t="s">
        <v>20</v>
      </c>
    </row>
    <row r="34">
      <c r="A34" s="12" t="s">
        <v>430</v>
      </c>
      <c r="B34" s="10"/>
      <c r="C34" s="13" t="s">
        <v>431</v>
      </c>
      <c r="D34" s="13" t="s">
        <v>432</v>
      </c>
      <c r="E34" s="13" t="s">
        <v>122</v>
      </c>
      <c r="F34" s="13" t="s">
        <v>1057</v>
      </c>
      <c r="G34" s="13" t="s">
        <v>20</v>
      </c>
    </row>
    <row r="35">
      <c r="A35" s="12" t="s">
        <v>445</v>
      </c>
      <c r="B35" s="10"/>
      <c r="C35" s="13" t="s">
        <v>446</v>
      </c>
      <c r="D35" s="13" t="s">
        <v>447</v>
      </c>
      <c r="E35" s="13" t="s">
        <v>40</v>
      </c>
      <c r="F35" s="13" t="s">
        <v>1056</v>
      </c>
      <c r="G35" s="13" t="s">
        <v>20</v>
      </c>
    </row>
    <row r="36">
      <c r="A36" s="12" t="s">
        <v>458</v>
      </c>
      <c r="B36" s="10"/>
      <c r="C36" s="13" t="s">
        <v>172</v>
      </c>
      <c r="D36" s="13" t="s">
        <v>459</v>
      </c>
      <c r="E36" s="13" t="s">
        <v>72</v>
      </c>
      <c r="F36" s="13" t="s">
        <v>1064</v>
      </c>
      <c r="G36" s="13" t="s">
        <v>20</v>
      </c>
    </row>
    <row r="37">
      <c r="A37" s="12" t="s">
        <v>467</v>
      </c>
      <c r="B37" s="10"/>
      <c r="C37" s="13" t="s">
        <v>468</v>
      </c>
      <c r="D37" s="13" t="s">
        <v>469</v>
      </c>
      <c r="E37" s="13" t="s">
        <v>217</v>
      </c>
      <c r="F37" s="13" t="s">
        <v>1057</v>
      </c>
      <c r="G37" s="13" t="s">
        <v>20</v>
      </c>
    </row>
    <row r="38">
      <c r="A38" s="12" t="s">
        <v>476</v>
      </c>
      <c r="B38" s="10"/>
      <c r="C38" s="13" t="s">
        <v>477</v>
      </c>
      <c r="D38" s="13" t="s">
        <v>478</v>
      </c>
      <c r="E38" s="13" t="s">
        <v>1065</v>
      </c>
      <c r="F38" s="13" t="s">
        <v>1057</v>
      </c>
      <c r="G38" s="13" t="s">
        <v>20</v>
      </c>
    </row>
    <row r="39">
      <c r="A39" s="12" t="s">
        <v>483</v>
      </c>
      <c r="B39" s="10"/>
      <c r="C39" s="13" t="s">
        <v>326</v>
      </c>
      <c r="D39" s="13" t="s">
        <v>484</v>
      </c>
      <c r="E39" s="13" t="s">
        <v>122</v>
      </c>
      <c r="F39" s="13" t="s">
        <v>1060</v>
      </c>
      <c r="G39" s="13" t="s">
        <v>20</v>
      </c>
    </row>
    <row r="40">
      <c r="A40" s="12" t="s">
        <v>492</v>
      </c>
      <c r="B40" s="10"/>
      <c r="C40" s="13" t="s">
        <v>339</v>
      </c>
      <c r="D40" s="13" t="s">
        <v>493</v>
      </c>
      <c r="E40" s="13" t="s">
        <v>99</v>
      </c>
      <c r="F40" s="13" t="s">
        <v>1057</v>
      </c>
      <c r="G40" s="13" t="s">
        <v>20</v>
      </c>
    </row>
    <row r="41">
      <c r="A41" s="12" t="s">
        <v>505</v>
      </c>
      <c r="B41" s="10"/>
      <c r="C41" s="13" t="s">
        <v>119</v>
      </c>
      <c r="D41" s="13" t="s">
        <v>503</v>
      </c>
      <c r="E41" s="13" t="s">
        <v>257</v>
      </c>
      <c r="F41" s="13" t="s">
        <v>1059</v>
      </c>
      <c r="G41" s="13" t="s">
        <v>20</v>
      </c>
    </row>
    <row r="42">
      <c r="A42" s="12" t="s">
        <v>513</v>
      </c>
      <c r="B42" s="10"/>
      <c r="C42" s="13" t="s">
        <v>514</v>
      </c>
      <c r="D42" s="13" t="s">
        <v>515</v>
      </c>
      <c r="E42" s="13" t="s">
        <v>1065</v>
      </c>
      <c r="F42" s="13" t="s">
        <v>1056</v>
      </c>
      <c r="G42" s="13" t="s">
        <v>20</v>
      </c>
    </row>
    <row r="43">
      <c r="A43" s="12" t="s">
        <v>535</v>
      </c>
      <c r="B43" s="10"/>
      <c r="C43" s="13" t="s">
        <v>536</v>
      </c>
      <c r="D43" s="13" t="s">
        <v>537</v>
      </c>
      <c r="E43" s="13" t="s">
        <v>1065</v>
      </c>
      <c r="F43" s="13" t="s">
        <v>1060</v>
      </c>
      <c r="G43" s="13" t="s">
        <v>20</v>
      </c>
    </row>
    <row r="44">
      <c r="A44" s="12" t="s">
        <v>547</v>
      </c>
      <c r="B44" s="10"/>
      <c r="C44" s="13" t="s">
        <v>548</v>
      </c>
      <c r="D44" s="13" t="s">
        <v>549</v>
      </c>
      <c r="E44" s="13" t="s">
        <v>122</v>
      </c>
      <c r="F44" s="13" t="s">
        <v>1057</v>
      </c>
      <c r="G44" s="13" t="s">
        <v>20</v>
      </c>
    </row>
    <row r="45">
      <c r="A45" s="12" t="s">
        <v>565</v>
      </c>
      <c r="B45" s="10"/>
      <c r="C45" s="13" t="s">
        <v>498</v>
      </c>
      <c r="D45" s="13" t="s">
        <v>566</v>
      </c>
      <c r="E45" s="13" t="s">
        <v>217</v>
      </c>
      <c r="F45" s="13" t="s">
        <v>1056</v>
      </c>
      <c r="G45" s="13" t="s">
        <v>20</v>
      </c>
    </row>
    <row r="46">
      <c r="A46" s="12" t="s">
        <v>572</v>
      </c>
      <c r="B46" s="10"/>
      <c r="C46" s="13" t="s">
        <v>37</v>
      </c>
      <c r="D46" s="13" t="s">
        <v>573</v>
      </c>
      <c r="E46" s="13" t="s">
        <v>72</v>
      </c>
      <c r="F46" s="13" t="s">
        <v>1066</v>
      </c>
      <c r="G46" s="13" t="s">
        <v>20</v>
      </c>
    </row>
    <row r="47">
      <c r="A47" s="12" t="s">
        <v>578</v>
      </c>
      <c r="B47" s="10"/>
      <c r="C47" s="13" t="s">
        <v>579</v>
      </c>
      <c r="D47" s="13" t="s">
        <v>580</v>
      </c>
      <c r="E47" s="13" t="s">
        <v>99</v>
      </c>
      <c r="F47" s="13" t="s">
        <v>1064</v>
      </c>
      <c r="G47" s="13" t="s">
        <v>20</v>
      </c>
    </row>
    <row r="48">
      <c r="A48" s="12" t="s">
        <v>598</v>
      </c>
      <c r="B48" s="10"/>
      <c r="C48" s="13" t="s">
        <v>140</v>
      </c>
      <c r="D48" s="13" t="s">
        <v>593</v>
      </c>
      <c r="E48" s="13" t="s">
        <v>49</v>
      </c>
      <c r="F48" s="13" t="s">
        <v>1057</v>
      </c>
      <c r="G48" s="13" t="s">
        <v>20</v>
      </c>
    </row>
    <row r="49">
      <c r="A49" s="12" t="s">
        <v>591</v>
      </c>
      <c r="B49" s="10"/>
      <c r="C49" s="13" t="s">
        <v>592</v>
      </c>
      <c r="D49" s="13" t="s">
        <v>593</v>
      </c>
      <c r="E49" s="13" t="s">
        <v>40</v>
      </c>
      <c r="F49" s="13" t="s">
        <v>1062</v>
      </c>
      <c r="G49" s="13" t="s">
        <v>20</v>
      </c>
    </row>
    <row r="50">
      <c r="A50" s="12" t="s">
        <v>611</v>
      </c>
      <c r="B50" s="10"/>
      <c r="C50" s="13" t="s">
        <v>612</v>
      </c>
      <c r="D50" s="13" t="s">
        <v>613</v>
      </c>
      <c r="E50" s="13" t="s">
        <v>1065</v>
      </c>
      <c r="F50" s="13" t="s">
        <v>1053</v>
      </c>
      <c r="G50" s="13" t="s">
        <v>20</v>
      </c>
    </row>
    <row r="51">
      <c r="A51" s="12" t="s">
        <v>618</v>
      </c>
      <c r="B51" s="10"/>
      <c r="C51" s="13" t="s">
        <v>489</v>
      </c>
      <c r="D51" s="13" t="s">
        <v>619</v>
      </c>
      <c r="E51" s="13" t="s">
        <v>257</v>
      </c>
      <c r="F51" s="13" t="s">
        <v>1060</v>
      </c>
      <c r="G51" s="13" t="s">
        <v>20</v>
      </c>
    </row>
    <row r="52">
      <c r="A52" s="12" t="s">
        <v>624</v>
      </c>
      <c r="B52" s="10"/>
      <c r="C52" s="13" t="s">
        <v>318</v>
      </c>
      <c r="D52" s="13" t="s">
        <v>1067</v>
      </c>
      <c r="E52" s="13" t="s">
        <v>257</v>
      </c>
      <c r="F52" s="13" t="s">
        <v>1068</v>
      </c>
      <c r="G52" s="13" t="s">
        <v>20</v>
      </c>
    </row>
    <row r="53">
      <c r="A53" s="12" t="s">
        <v>634</v>
      </c>
      <c r="B53" s="10"/>
      <c r="C53" s="13" t="s">
        <v>631</v>
      </c>
      <c r="D53" s="13" t="s">
        <v>635</v>
      </c>
      <c r="E53" s="14" t="s">
        <v>26</v>
      </c>
      <c r="F53" s="14" t="s">
        <v>26</v>
      </c>
      <c r="G53" s="13" t="s">
        <v>1069</v>
      </c>
    </row>
    <row r="54">
      <c r="A54" s="12" t="s">
        <v>642</v>
      </c>
      <c r="B54" s="10"/>
      <c r="C54" s="13" t="s">
        <v>643</v>
      </c>
      <c r="D54" s="13" t="s">
        <v>1070</v>
      </c>
      <c r="E54" s="13" t="s">
        <v>329</v>
      </c>
      <c r="F54" s="13" t="s">
        <v>1053</v>
      </c>
      <c r="G54" s="13" t="s">
        <v>20</v>
      </c>
    </row>
    <row r="55">
      <c r="A55" s="12" t="s">
        <v>652</v>
      </c>
      <c r="B55" s="10"/>
      <c r="C55" s="13" t="s">
        <v>653</v>
      </c>
      <c r="D55" s="13" t="s">
        <v>654</v>
      </c>
      <c r="E55" s="13" t="s">
        <v>49</v>
      </c>
      <c r="F55" s="13" t="s">
        <v>1060</v>
      </c>
      <c r="G55" s="13" t="s">
        <v>20</v>
      </c>
    </row>
    <row r="56">
      <c r="A56" s="12" t="s">
        <v>659</v>
      </c>
      <c r="B56" s="10"/>
      <c r="C56" s="13" t="s">
        <v>200</v>
      </c>
      <c r="D56" s="13" t="s">
        <v>660</v>
      </c>
      <c r="E56" s="13" t="s">
        <v>217</v>
      </c>
      <c r="F56" s="13" t="s">
        <v>1068</v>
      </c>
      <c r="G56" s="13" t="s">
        <v>20</v>
      </c>
    </row>
    <row r="57">
      <c r="A57" s="12" t="s">
        <v>668</v>
      </c>
      <c r="B57" s="10"/>
      <c r="C57" s="13" t="s">
        <v>140</v>
      </c>
      <c r="D57" s="13" t="s">
        <v>665</v>
      </c>
      <c r="E57" s="13" t="s">
        <v>110</v>
      </c>
      <c r="F57" s="13" t="s">
        <v>1059</v>
      </c>
      <c r="G57" s="13" t="s">
        <v>20</v>
      </c>
    </row>
    <row r="58">
      <c r="A58" s="12" t="s">
        <v>673</v>
      </c>
      <c r="B58" s="10"/>
      <c r="C58" s="13" t="s">
        <v>77</v>
      </c>
      <c r="D58" s="13" t="s">
        <v>674</v>
      </c>
      <c r="E58" s="13" t="s">
        <v>329</v>
      </c>
      <c r="F58" s="13" t="s">
        <v>1064</v>
      </c>
      <c r="G58" s="13" t="s">
        <v>20</v>
      </c>
    </row>
    <row r="59">
      <c r="A59" s="12" t="s">
        <v>682</v>
      </c>
      <c r="B59" s="10"/>
      <c r="C59" s="13" t="s">
        <v>683</v>
      </c>
      <c r="D59" s="13" t="s">
        <v>684</v>
      </c>
      <c r="E59" s="14" t="s">
        <v>26</v>
      </c>
      <c r="F59" s="14" t="s">
        <v>26</v>
      </c>
      <c r="G59" s="13" t="s">
        <v>1069</v>
      </c>
    </row>
    <row r="60">
      <c r="A60" s="12" t="s">
        <v>689</v>
      </c>
      <c r="B60" s="10"/>
      <c r="C60" s="13" t="s">
        <v>690</v>
      </c>
      <c r="D60" s="13" t="s">
        <v>691</v>
      </c>
      <c r="E60" s="13" t="s">
        <v>257</v>
      </c>
      <c r="F60" s="13" t="s">
        <v>1058</v>
      </c>
      <c r="G60" s="13" t="s">
        <v>20</v>
      </c>
    </row>
    <row r="61">
      <c r="A61" s="12" t="s">
        <v>707</v>
      </c>
      <c r="B61" s="10"/>
      <c r="C61" s="13" t="s">
        <v>119</v>
      </c>
      <c r="D61" s="13" t="s">
        <v>708</v>
      </c>
      <c r="E61" s="13" t="s">
        <v>136</v>
      </c>
      <c r="F61" s="13" t="s">
        <v>1062</v>
      </c>
      <c r="G61" s="13" t="s">
        <v>20</v>
      </c>
    </row>
    <row r="62">
      <c r="A62" s="12" t="s">
        <v>713</v>
      </c>
      <c r="B62" s="10"/>
      <c r="C62" s="13" t="s">
        <v>714</v>
      </c>
      <c r="D62" s="13" t="s">
        <v>715</v>
      </c>
      <c r="E62" s="13" t="s">
        <v>136</v>
      </c>
      <c r="F62" s="13" t="s">
        <v>1053</v>
      </c>
      <c r="G62" s="13" t="s">
        <v>20</v>
      </c>
    </row>
    <row r="63">
      <c r="A63" s="12" t="s">
        <v>720</v>
      </c>
      <c r="B63" s="10"/>
      <c r="C63" s="13" t="s">
        <v>721</v>
      </c>
      <c r="D63" s="13" t="s">
        <v>722</v>
      </c>
      <c r="E63" s="13" t="s">
        <v>122</v>
      </c>
      <c r="F63" s="13" t="s">
        <v>1060</v>
      </c>
      <c r="G63" s="13" t="s">
        <v>20</v>
      </c>
    </row>
    <row r="64">
      <c r="A64" s="12" t="s">
        <v>732</v>
      </c>
      <c r="B64" s="10"/>
      <c r="C64" s="13" t="s">
        <v>733</v>
      </c>
      <c r="D64" s="13" t="s">
        <v>730</v>
      </c>
      <c r="E64" s="13" t="s">
        <v>122</v>
      </c>
      <c r="F64" s="13" t="s">
        <v>1057</v>
      </c>
      <c r="G64" s="13" t="s">
        <v>20</v>
      </c>
    </row>
    <row r="65">
      <c r="A65" s="12" t="s">
        <v>738</v>
      </c>
      <c r="B65" s="10"/>
      <c r="C65" s="13" t="s">
        <v>739</v>
      </c>
      <c r="D65" s="13" t="s">
        <v>740</v>
      </c>
      <c r="E65" s="13" t="s">
        <v>21</v>
      </c>
      <c r="F65" s="13" t="s">
        <v>1059</v>
      </c>
      <c r="G65" s="13" t="s">
        <v>20</v>
      </c>
    </row>
    <row r="66">
      <c r="A66" s="12" t="s">
        <v>745</v>
      </c>
      <c r="B66" s="10"/>
      <c r="C66" s="13" t="s">
        <v>140</v>
      </c>
      <c r="D66" s="13" t="s">
        <v>746</v>
      </c>
      <c r="E66" s="13" t="s">
        <v>136</v>
      </c>
      <c r="F66" s="13" t="s">
        <v>1055</v>
      </c>
      <c r="G66" s="13" t="s">
        <v>20</v>
      </c>
    </row>
    <row r="67">
      <c r="A67" s="12" t="s">
        <v>754</v>
      </c>
      <c r="B67" s="10"/>
      <c r="C67" s="13" t="s">
        <v>77</v>
      </c>
      <c r="D67" s="13" t="s">
        <v>755</v>
      </c>
      <c r="E67" s="13" t="s">
        <v>329</v>
      </c>
      <c r="F67" s="13" t="s">
        <v>1059</v>
      </c>
      <c r="G67" s="13" t="s">
        <v>20</v>
      </c>
    </row>
    <row r="68">
      <c r="A68" s="12" t="s">
        <v>767</v>
      </c>
      <c r="B68" s="10"/>
      <c r="C68" s="13" t="s">
        <v>768</v>
      </c>
      <c r="D68" s="13" t="s">
        <v>769</v>
      </c>
      <c r="E68" s="13" t="s">
        <v>257</v>
      </c>
      <c r="F68" s="13" t="s">
        <v>1054</v>
      </c>
      <c r="G68" s="13" t="s">
        <v>20</v>
      </c>
    </row>
    <row r="69">
      <c r="A69" s="12" t="s">
        <v>774</v>
      </c>
      <c r="B69" s="10"/>
      <c r="C69" s="13" t="s">
        <v>235</v>
      </c>
      <c r="D69" s="13" t="s">
        <v>775</v>
      </c>
      <c r="E69" s="13" t="s">
        <v>72</v>
      </c>
      <c r="F69" s="13" t="s">
        <v>1057</v>
      </c>
      <c r="G69" s="13" t="s">
        <v>20</v>
      </c>
    </row>
    <row r="70">
      <c r="A70" s="12" t="s">
        <v>783</v>
      </c>
      <c r="B70" s="10"/>
      <c r="C70" s="13" t="s">
        <v>784</v>
      </c>
      <c r="D70" s="13" t="s">
        <v>781</v>
      </c>
      <c r="E70" s="13" t="s">
        <v>329</v>
      </c>
      <c r="F70" s="13" t="s">
        <v>1071</v>
      </c>
      <c r="G70" s="13" t="s">
        <v>20</v>
      </c>
    </row>
    <row r="71">
      <c r="A71" s="12" t="s">
        <v>790</v>
      </c>
      <c r="B71" s="10"/>
      <c r="C71" s="13" t="s">
        <v>791</v>
      </c>
      <c r="D71" s="13" t="s">
        <v>792</v>
      </c>
      <c r="E71" s="13" t="s">
        <v>49</v>
      </c>
      <c r="F71" s="13" t="s">
        <v>1053</v>
      </c>
      <c r="G71" s="13" t="s">
        <v>20</v>
      </c>
    </row>
    <row r="72">
      <c r="A72" s="12" t="s">
        <v>797</v>
      </c>
      <c r="B72" s="10"/>
      <c r="C72" s="13" t="s">
        <v>119</v>
      </c>
      <c r="D72" s="13" t="s">
        <v>798</v>
      </c>
      <c r="E72" s="13" t="s">
        <v>136</v>
      </c>
      <c r="F72" s="13" t="s">
        <v>1060</v>
      </c>
      <c r="G72" s="13" t="s">
        <v>20</v>
      </c>
    </row>
    <row r="73">
      <c r="A73" s="12" t="s">
        <v>810</v>
      </c>
      <c r="B73" s="10"/>
      <c r="C73" s="13" t="s">
        <v>811</v>
      </c>
      <c r="D73" s="13" t="s">
        <v>812</v>
      </c>
      <c r="E73" s="13" t="s">
        <v>122</v>
      </c>
      <c r="F73" s="13" t="s">
        <v>1056</v>
      </c>
      <c r="G73" s="13" t="s">
        <v>20</v>
      </c>
    </row>
    <row r="74">
      <c r="A74" s="12" t="s">
        <v>817</v>
      </c>
      <c r="B74" s="10"/>
      <c r="C74" s="13" t="s">
        <v>818</v>
      </c>
      <c r="D74" s="13" t="s">
        <v>819</v>
      </c>
      <c r="E74" s="13" t="s">
        <v>21</v>
      </c>
      <c r="F74" s="13" t="s">
        <v>1056</v>
      </c>
      <c r="G74" s="13" t="s">
        <v>20</v>
      </c>
    </row>
    <row r="75">
      <c r="A75" s="12" t="s">
        <v>829</v>
      </c>
      <c r="B75" s="10"/>
      <c r="C75" s="13" t="s">
        <v>830</v>
      </c>
      <c r="D75" s="13" t="s">
        <v>831</v>
      </c>
      <c r="E75" s="13" t="s">
        <v>99</v>
      </c>
      <c r="F75" s="13" t="s">
        <v>1059</v>
      </c>
      <c r="G75" s="13" t="s">
        <v>20</v>
      </c>
    </row>
    <row r="76">
      <c r="A76" s="12" t="s">
        <v>841</v>
      </c>
      <c r="B76" s="10"/>
      <c r="C76" s="13" t="s">
        <v>89</v>
      </c>
      <c r="D76" s="13" t="s">
        <v>842</v>
      </c>
      <c r="E76" s="13" t="s">
        <v>21</v>
      </c>
      <c r="F76" s="13" t="s">
        <v>1056</v>
      </c>
      <c r="G76" s="13" t="s">
        <v>20</v>
      </c>
    </row>
    <row r="77">
      <c r="A77" s="12" t="s">
        <v>850</v>
      </c>
      <c r="B77" s="10"/>
      <c r="C77" s="13" t="s">
        <v>851</v>
      </c>
      <c r="D77" s="13" t="s">
        <v>852</v>
      </c>
      <c r="E77" s="13" t="s">
        <v>40</v>
      </c>
      <c r="F77" s="13" t="s">
        <v>1056</v>
      </c>
      <c r="G77" s="13" t="s">
        <v>20</v>
      </c>
    </row>
    <row r="78">
      <c r="A78" s="12" t="s">
        <v>857</v>
      </c>
      <c r="B78" s="10"/>
      <c r="C78" s="13" t="s">
        <v>858</v>
      </c>
      <c r="D78" s="13" t="s">
        <v>859</v>
      </c>
      <c r="E78" s="13" t="s">
        <v>257</v>
      </c>
      <c r="F78" s="13" t="s">
        <v>1059</v>
      </c>
      <c r="G78" s="13" t="s">
        <v>20</v>
      </c>
    </row>
    <row r="79">
      <c r="A79" s="12" t="s">
        <v>864</v>
      </c>
      <c r="B79" s="10"/>
      <c r="C79" s="13" t="s">
        <v>865</v>
      </c>
      <c r="D79" s="13" t="s">
        <v>866</v>
      </c>
      <c r="E79" s="13" t="s">
        <v>1065</v>
      </c>
      <c r="F79" s="13" t="s">
        <v>1072</v>
      </c>
      <c r="G79" s="13" t="s">
        <v>20</v>
      </c>
    </row>
    <row r="80">
      <c r="A80" s="12" t="s">
        <v>871</v>
      </c>
      <c r="B80" s="10"/>
      <c r="C80" s="13" t="s">
        <v>585</v>
      </c>
      <c r="D80" s="13" t="s">
        <v>872</v>
      </c>
      <c r="E80" s="13" t="s">
        <v>72</v>
      </c>
      <c r="F80" s="13" t="s">
        <v>1062</v>
      </c>
      <c r="G80" s="13" t="s">
        <v>20</v>
      </c>
    </row>
    <row r="81">
      <c r="A81" s="12" t="s">
        <v>883</v>
      </c>
      <c r="B81" s="10"/>
      <c r="C81" s="13" t="s">
        <v>884</v>
      </c>
      <c r="D81" s="13" t="s">
        <v>885</v>
      </c>
      <c r="E81" s="13" t="s">
        <v>136</v>
      </c>
      <c r="F81" s="13" t="s">
        <v>1059</v>
      </c>
      <c r="G81" s="13" t="s">
        <v>20</v>
      </c>
    </row>
    <row r="82">
      <c r="A82" s="12" t="s">
        <v>890</v>
      </c>
      <c r="B82" s="10"/>
      <c r="C82" s="13" t="s">
        <v>679</v>
      </c>
      <c r="D82" s="13" t="s">
        <v>891</v>
      </c>
      <c r="E82" s="13" t="s">
        <v>1065</v>
      </c>
      <c r="F82" s="13" t="s">
        <v>1059</v>
      </c>
      <c r="G82" s="13" t="s">
        <v>20</v>
      </c>
    </row>
    <row r="83">
      <c r="A83" s="12" t="s">
        <v>903</v>
      </c>
      <c r="B83" s="10"/>
      <c r="C83" s="13" t="s">
        <v>690</v>
      </c>
      <c r="D83" s="13" t="s">
        <v>904</v>
      </c>
      <c r="E83" s="13" t="s">
        <v>136</v>
      </c>
      <c r="F83" s="13" t="s">
        <v>1073</v>
      </c>
      <c r="G83" s="13" t="s">
        <v>20</v>
      </c>
    </row>
    <row r="84">
      <c r="A84" s="12" t="s">
        <v>916</v>
      </c>
      <c r="B84" s="10"/>
      <c r="C84" s="13" t="s">
        <v>917</v>
      </c>
      <c r="D84" s="13" t="s">
        <v>918</v>
      </c>
      <c r="E84" s="13" t="s">
        <v>329</v>
      </c>
      <c r="F84" s="13" t="s">
        <v>1056</v>
      </c>
      <c r="G84" s="13" t="s">
        <v>20</v>
      </c>
    </row>
    <row r="85">
      <c r="A85" s="12" t="s">
        <v>921</v>
      </c>
      <c r="B85" s="10"/>
      <c r="C85" s="13" t="s">
        <v>922</v>
      </c>
      <c r="D85" s="13" t="s">
        <v>923</v>
      </c>
      <c r="E85" s="13" t="s">
        <v>99</v>
      </c>
      <c r="F85" s="13" t="s">
        <v>1059</v>
      </c>
      <c r="G85" s="13" t="s">
        <v>20</v>
      </c>
    </row>
    <row r="86">
      <c r="A86" s="12" t="s">
        <v>928</v>
      </c>
      <c r="B86" s="10"/>
      <c r="C86" s="13" t="s">
        <v>169</v>
      </c>
      <c r="D86" s="13" t="s">
        <v>929</v>
      </c>
      <c r="E86" s="13" t="s">
        <v>217</v>
      </c>
      <c r="F86" s="13" t="s">
        <v>1068</v>
      </c>
      <c r="G86" s="13" t="s">
        <v>20</v>
      </c>
    </row>
    <row r="87">
      <c r="A87" s="12" t="s">
        <v>934</v>
      </c>
      <c r="B87" s="10"/>
      <c r="C87" s="13" t="s">
        <v>935</v>
      </c>
      <c r="D87" s="13" t="s">
        <v>936</v>
      </c>
      <c r="E87" s="13" t="s">
        <v>217</v>
      </c>
      <c r="F87" s="13" t="s">
        <v>1053</v>
      </c>
      <c r="G87" s="13" t="s">
        <v>20</v>
      </c>
    </row>
    <row r="88">
      <c r="A88" s="12" t="s">
        <v>948</v>
      </c>
      <c r="B88" s="10"/>
      <c r="C88" s="13" t="s">
        <v>172</v>
      </c>
      <c r="D88" s="13" t="s">
        <v>949</v>
      </c>
      <c r="E88" s="13" t="s">
        <v>257</v>
      </c>
      <c r="F88" s="13" t="s">
        <v>1054</v>
      </c>
      <c r="G88" s="13" t="s">
        <v>20</v>
      </c>
    </row>
    <row r="89">
      <c r="A89" s="12" t="s">
        <v>1074</v>
      </c>
      <c r="B89" s="10"/>
      <c r="C89" s="13" t="s">
        <v>1075</v>
      </c>
      <c r="D89" s="13" t="s">
        <v>959</v>
      </c>
      <c r="E89" s="14" t="s">
        <v>26</v>
      </c>
      <c r="F89" s="14" t="s">
        <v>26</v>
      </c>
      <c r="G89" s="13" t="s">
        <v>1069</v>
      </c>
    </row>
    <row r="90">
      <c r="A90" s="12" t="s">
        <v>964</v>
      </c>
      <c r="B90" s="10"/>
      <c r="C90" s="13" t="s">
        <v>254</v>
      </c>
      <c r="D90" s="13" t="s">
        <v>965</v>
      </c>
      <c r="E90" s="13" t="s">
        <v>136</v>
      </c>
      <c r="F90" s="13" t="s">
        <v>1057</v>
      </c>
      <c r="G90" s="13" t="s">
        <v>20</v>
      </c>
    </row>
    <row r="91">
      <c r="A91" s="12" t="s">
        <v>970</v>
      </c>
      <c r="B91" s="10"/>
      <c r="C91" s="13" t="s">
        <v>502</v>
      </c>
      <c r="D91" s="13" t="s">
        <v>971</v>
      </c>
      <c r="E91" s="13" t="s">
        <v>72</v>
      </c>
      <c r="F91" s="13" t="s">
        <v>1056</v>
      </c>
      <c r="G91" s="13" t="s">
        <v>20</v>
      </c>
    </row>
    <row r="92">
      <c r="A92" s="12" t="s">
        <v>978</v>
      </c>
      <c r="B92" s="10"/>
      <c r="C92" s="13" t="s">
        <v>979</v>
      </c>
      <c r="D92" s="13" t="s">
        <v>980</v>
      </c>
      <c r="E92" s="13" t="s">
        <v>1065</v>
      </c>
      <c r="F92" s="13" t="s">
        <v>1056</v>
      </c>
      <c r="G92" s="13" t="s">
        <v>20</v>
      </c>
    </row>
    <row r="93">
      <c r="A93" s="12" t="s">
        <v>985</v>
      </c>
      <c r="B93" s="10"/>
      <c r="C93" s="13" t="s">
        <v>631</v>
      </c>
      <c r="D93" s="13" t="s">
        <v>986</v>
      </c>
      <c r="E93" s="13" t="s">
        <v>99</v>
      </c>
      <c r="F93" s="13" t="s">
        <v>1062</v>
      </c>
      <c r="G93" s="13" t="s">
        <v>20</v>
      </c>
    </row>
    <row r="94">
      <c r="A94" s="12" t="s">
        <v>991</v>
      </c>
      <c r="B94" s="10"/>
      <c r="C94" s="13" t="s">
        <v>405</v>
      </c>
      <c r="D94" s="13" t="s">
        <v>992</v>
      </c>
      <c r="E94" s="13" t="s">
        <v>49</v>
      </c>
      <c r="F94" s="13" t="s">
        <v>1068</v>
      </c>
      <c r="G94" s="13" t="s">
        <v>20</v>
      </c>
    </row>
    <row r="95">
      <c r="A95" s="12" t="s">
        <v>997</v>
      </c>
      <c r="B95" s="10"/>
      <c r="C95" s="13" t="s">
        <v>254</v>
      </c>
      <c r="D95" s="13" t="s">
        <v>998</v>
      </c>
      <c r="E95" s="13" t="s">
        <v>72</v>
      </c>
      <c r="F95" s="13" t="s">
        <v>1076</v>
      </c>
      <c r="G95" s="13" t="s">
        <v>20</v>
      </c>
    </row>
    <row r="96">
      <c r="A96" s="12" t="s">
        <v>1003</v>
      </c>
      <c r="B96" s="10"/>
      <c r="C96" s="13" t="s">
        <v>679</v>
      </c>
      <c r="D96" s="13" t="s">
        <v>1004</v>
      </c>
      <c r="E96" s="13" t="s">
        <v>99</v>
      </c>
      <c r="F96" s="13" t="s">
        <v>1076</v>
      </c>
      <c r="G96" s="13" t="s">
        <v>20</v>
      </c>
    </row>
    <row r="97">
      <c r="A97" s="12" t="s">
        <v>1016</v>
      </c>
      <c r="B97" s="10"/>
      <c r="C97" s="13" t="s">
        <v>1017</v>
      </c>
      <c r="D97" s="13" t="s">
        <v>1011</v>
      </c>
      <c r="E97" s="13" t="s">
        <v>72</v>
      </c>
      <c r="F97" s="13" t="s">
        <v>1062</v>
      </c>
      <c r="G97" s="13" t="s">
        <v>20</v>
      </c>
    </row>
    <row r="98">
      <c r="A98" s="12" t="s">
        <v>1009</v>
      </c>
      <c r="B98" s="10"/>
      <c r="C98" s="13" t="s">
        <v>1010</v>
      </c>
      <c r="D98" s="13" t="s">
        <v>1011</v>
      </c>
      <c r="E98" s="13" t="s">
        <v>1065</v>
      </c>
      <c r="F98" s="13" t="s">
        <v>1058</v>
      </c>
      <c r="G98" s="13" t="s">
        <v>20</v>
      </c>
    </row>
    <row r="99">
      <c r="A99" s="12" t="s">
        <v>1022</v>
      </c>
      <c r="B99" s="10"/>
      <c r="C99" s="13" t="s">
        <v>371</v>
      </c>
      <c r="D99" s="13" t="s">
        <v>1023</v>
      </c>
      <c r="E99" s="13" t="s">
        <v>110</v>
      </c>
      <c r="F99" s="13" t="s">
        <v>1060</v>
      </c>
      <c r="G99" s="13" t="s">
        <v>20</v>
      </c>
    </row>
    <row r="100">
      <c r="A100" s="12" t="s">
        <v>1036</v>
      </c>
      <c r="B100" s="10"/>
      <c r="C100" s="13" t="s">
        <v>1037</v>
      </c>
      <c r="D100" s="13" t="s">
        <v>1038</v>
      </c>
      <c r="E100" s="13" t="s">
        <v>49</v>
      </c>
      <c r="F100" s="13" t="s">
        <v>1056</v>
      </c>
      <c r="G100" s="13" t="s">
        <v>20</v>
      </c>
    </row>
    <row r="101">
      <c r="A101" s="12" t="s">
        <v>1043</v>
      </c>
      <c r="B101" s="10"/>
      <c r="C101" s="13" t="s">
        <v>1044</v>
      </c>
      <c r="D101" s="13" t="s">
        <v>1045</v>
      </c>
      <c r="E101" s="13" t="s">
        <v>49</v>
      </c>
      <c r="F101" s="13" t="s">
        <v>1058</v>
      </c>
      <c r="G101" s="13" t="s">
        <v>20</v>
      </c>
    </row>
    <row r="102">
      <c r="A102" s="15" t="s">
        <v>1077</v>
      </c>
      <c r="B102" s="16" t="s">
        <v>1078</v>
      </c>
      <c r="C102" s="17">
        <v>100.0</v>
      </c>
      <c r="D102" s="18"/>
      <c r="E102" s="18"/>
      <c r="F102" s="18"/>
      <c r="G102" s="18"/>
    </row>
  </sheetData>
  <mergeCells count="101"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9:B99"/>
    <mergeCell ref="A100:B100"/>
    <mergeCell ref="A101:B101"/>
    <mergeCell ref="A92:B92"/>
    <mergeCell ref="A93:B93"/>
    <mergeCell ref="A94:B94"/>
    <mergeCell ref="A95:B95"/>
    <mergeCell ref="A96:B96"/>
    <mergeCell ref="A97:B97"/>
    <mergeCell ref="A98:B98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1079</v>
      </c>
      <c r="B1" s="1" t="s">
        <v>1080</v>
      </c>
      <c r="C1" s="1" t="s">
        <v>4</v>
      </c>
      <c r="D1" s="1" t="s">
        <v>10</v>
      </c>
      <c r="E1" s="1" t="s">
        <v>1081</v>
      </c>
      <c r="F1" s="1" t="s">
        <v>1082</v>
      </c>
      <c r="G1" s="1" t="s">
        <v>1083</v>
      </c>
      <c r="H1" s="1" t="s">
        <v>1084</v>
      </c>
      <c r="I1" s="1" t="s">
        <v>13</v>
      </c>
    </row>
    <row r="2">
      <c r="A2" s="1" t="s">
        <v>811</v>
      </c>
      <c r="B2" s="1" t="s">
        <v>812</v>
      </c>
      <c r="C2" s="1" t="s">
        <v>813</v>
      </c>
      <c r="D2" s="1" t="s">
        <v>815</v>
      </c>
      <c r="E2" s="1" t="s">
        <v>814</v>
      </c>
      <c r="F2" s="1" t="s">
        <v>816</v>
      </c>
      <c r="G2" s="5">
        <v>261599.0</v>
      </c>
      <c r="H2" s="1">
        <v>2.0</v>
      </c>
      <c r="I2" s="1" t="s">
        <v>103</v>
      </c>
    </row>
    <row r="3">
      <c r="A3" s="1" t="s">
        <v>140</v>
      </c>
      <c r="B3" s="1" t="s">
        <v>746</v>
      </c>
      <c r="C3" s="1" t="s">
        <v>747</v>
      </c>
      <c r="D3" s="1" t="s">
        <v>749</v>
      </c>
      <c r="E3" s="1" t="s">
        <v>748</v>
      </c>
      <c r="F3" s="1" t="s">
        <v>750</v>
      </c>
      <c r="G3" s="5">
        <v>187484.0</v>
      </c>
      <c r="H3" s="1">
        <v>3.0</v>
      </c>
      <c r="I3" s="1" t="s">
        <v>76</v>
      </c>
    </row>
    <row r="4">
      <c r="A4" s="1" t="s">
        <v>446</v>
      </c>
      <c r="B4" s="1" t="s">
        <v>447</v>
      </c>
      <c r="C4" s="1" t="s">
        <v>448</v>
      </c>
      <c r="D4" s="1" t="s">
        <v>450</v>
      </c>
      <c r="E4" s="1" t="s">
        <v>449</v>
      </c>
      <c r="F4" s="1" t="s">
        <v>451</v>
      </c>
      <c r="G4" s="5">
        <v>132413.0</v>
      </c>
      <c r="H4" s="1">
        <v>4.0</v>
      </c>
      <c r="I4" s="1" t="s">
        <v>103</v>
      </c>
    </row>
    <row r="5">
      <c r="A5" s="1" t="s">
        <v>405</v>
      </c>
      <c r="B5" s="1" t="s">
        <v>992</v>
      </c>
      <c r="C5" s="1" t="s">
        <v>993</v>
      </c>
      <c r="D5" s="1" t="s">
        <v>995</v>
      </c>
      <c r="E5" s="1" t="s">
        <v>994</v>
      </c>
      <c r="F5" s="1" t="s">
        <v>996</v>
      </c>
      <c r="G5" s="5">
        <v>120306.0</v>
      </c>
      <c r="H5" s="1">
        <v>5.0</v>
      </c>
      <c r="I5" s="1" t="s">
        <v>630</v>
      </c>
    </row>
    <row r="6">
      <c r="A6" s="1" t="s">
        <v>585</v>
      </c>
      <c r="B6" s="1" t="s">
        <v>872</v>
      </c>
      <c r="C6" s="1" t="s">
        <v>873</v>
      </c>
      <c r="D6" s="1" t="s">
        <v>875</v>
      </c>
      <c r="E6" s="1" t="s">
        <v>874</v>
      </c>
      <c r="F6" s="1" t="s">
        <v>876</v>
      </c>
      <c r="G6" s="5">
        <v>119909.0</v>
      </c>
      <c r="H6" s="1">
        <v>6.0</v>
      </c>
      <c r="I6" s="1" t="s">
        <v>324</v>
      </c>
    </row>
    <row r="7">
      <c r="A7" s="1" t="s">
        <v>643</v>
      </c>
      <c r="B7" s="1" t="s">
        <v>1070</v>
      </c>
      <c r="C7" s="1" t="s">
        <v>1085</v>
      </c>
      <c r="D7" s="1" t="s">
        <v>647</v>
      </c>
      <c r="E7" s="1" t="s">
        <v>646</v>
      </c>
      <c r="F7" s="1" t="s">
        <v>648</v>
      </c>
      <c r="G7" s="5">
        <v>115875.0</v>
      </c>
      <c r="H7" s="1">
        <v>7.0</v>
      </c>
      <c r="I7" s="1" t="s">
        <v>25</v>
      </c>
    </row>
    <row r="8">
      <c r="A8" s="1" t="s">
        <v>69</v>
      </c>
      <c r="B8" s="1" t="s">
        <v>70</v>
      </c>
      <c r="C8" s="1" t="s">
        <v>71</v>
      </c>
      <c r="D8" s="1" t="s">
        <v>74</v>
      </c>
      <c r="E8" s="1" t="s">
        <v>73</v>
      </c>
      <c r="F8" s="1" t="s">
        <v>75</v>
      </c>
      <c r="G8" s="5">
        <v>115548.0</v>
      </c>
      <c r="H8" s="1">
        <v>8.0</v>
      </c>
      <c r="I8" s="1" t="s">
        <v>76</v>
      </c>
    </row>
    <row r="9">
      <c r="A9" s="1" t="s">
        <v>318</v>
      </c>
      <c r="B9" s="1" t="s">
        <v>1067</v>
      </c>
      <c r="C9" s="1" t="s">
        <v>1086</v>
      </c>
      <c r="D9" s="1" t="s">
        <v>628</v>
      </c>
      <c r="E9" s="1" t="s">
        <v>627</v>
      </c>
      <c r="F9" s="1" t="s">
        <v>629</v>
      </c>
      <c r="G9" s="5">
        <v>99540.0</v>
      </c>
      <c r="H9" s="1">
        <v>9.0</v>
      </c>
      <c r="I9" s="1" t="s">
        <v>630</v>
      </c>
    </row>
    <row r="10">
      <c r="A10" s="1" t="s">
        <v>318</v>
      </c>
      <c r="B10" s="1" t="s">
        <v>319</v>
      </c>
      <c r="C10" s="1" t="s">
        <v>320</v>
      </c>
      <c r="D10" s="1" t="s">
        <v>322</v>
      </c>
      <c r="E10" s="1" t="s">
        <v>321</v>
      </c>
      <c r="F10" s="1" t="s">
        <v>323</v>
      </c>
      <c r="G10" s="5">
        <v>96550.0</v>
      </c>
      <c r="H10" s="1">
        <v>10.0</v>
      </c>
      <c r="I10" s="1" t="s">
        <v>324</v>
      </c>
    </row>
    <row r="11">
      <c r="A11" s="1" t="s">
        <v>272</v>
      </c>
      <c r="B11" s="1" t="s">
        <v>273</v>
      </c>
      <c r="C11" s="1" t="s">
        <v>274</v>
      </c>
      <c r="D11" s="1" t="s">
        <v>276</v>
      </c>
      <c r="E11" s="1" t="s">
        <v>275</v>
      </c>
      <c r="F11" s="1" t="s">
        <v>277</v>
      </c>
      <c r="G11" s="5">
        <v>90000.0</v>
      </c>
      <c r="H11" s="1">
        <v>11.0</v>
      </c>
      <c r="I11" s="1" t="s">
        <v>114</v>
      </c>
    </row>
    <row r="12">
      <c r="A12" s="1" t="s">
        <v>477</v>
      </c>
      <c r="B12" s="1" t="s">
        <v>478</v>
      </c>
      <c r="C12" s="1" t="s">
        <v>479</v>
      </c>
      <c r="D12" s="1" t="s">
        <v>481</v>
      </c>
      <c r="E12" s="1" t="s">
        <v>480</v>
      </c>
      <c r="F12" s="1" t="s">
        <v>482</v>
      </c>
      <c r="G12" s="5">
        <v>86889.0</v>
      </c>
      <c r="H12" s="1">
        <v>12.0</v>
      </c>
      <c r="I12" s="1" t="s">
        <v>114</v>
      </c>
    </row>
    <row r="13">
      <c r="A13" s="1" t="s">
        <v>339</v>
      </c>
      <c r="B13" s="1" t="s">
        <v>493</v>
      </c>
      <c r="C13" s="1" t="s">
        <v>494</v>
      </c>
      <c r="D13" s="1" t="s">
        <v>496</v>
      </c>
      <c r="E13" s="1" t="s">
        <v>495</v>
      </c>
      <c r="F13" s="1" t="s">
        <v>497</v>
      </c>
      <c r="G13" s="5">
        <v>66195.0</v>
      </c>
      <c r="H13" s="1">
        <v>13.0</v>
      </c>
      <c r="I13" s="1" t="s">
        <v>114</v>
      </c>
    </row>
    <row r="14">
      <c r="A14" s="1" t="s">
        <v>733</v>
      </c>
      <c r="B14" s="1" t="s">
        <v>730</v>
      </c>
      <c r="C14" s="1" t="s">
        <v>734</v>
      </c>
      <c r="D14" s="1" t="s">
        <v>736</v>
      </c>
      <c r="E14" s="1" t="s">
        <v>735</v>
      </c>
      <c r="F14" s="1" t="s">
        <v>737</v>
      </c>
      <c r="G14" s="5">
        <v>59421.0</v>
      </c>
      <c r="H14" s="1">
        <v>14.0</v>
      </c>
      <c r="I14" s="1" t="s">
        <v>114</v>
      </c>
    </row>
    <row r="15">
      <c r="A15" s="1" t="s">
        <v>922</v>
      </c>
      <c r="B15" s="1" t="s">
        <v>923</v>
      </c>
      <c r="C15" s="1" t="s">
        <v>924</v>
      </c>
      <c r="D15" s="1" t="s">
        <v>926</v>
      </c>
      <c r="E15" s="1" t="s">
        <v>925</v>
      </c>
      <c r="F15" s="1" t="s">
        <v>927</v>
      </c>
      <c r="G15" s="5">
        <v>52104.0</v>
      </c>
      <c r="H15" s="1">
        <v>15.0</v>
      </c>
      <c r="I15" s="1" t="s">
        <v>182</v>
      </c>
    </row>
    <row r="16">
      <c r="A16" s="1" t="s">
        <v>37</v>
      </c>
      <c r="B16" s="1" t="s">
        <v>573</v>
      </c>
      <c r="C16" s="1" t="s">
        <v>574</v>
      </c>
      <c r="D16" s="1" t="s">
        <v>576</v>
      </c>
      <c r="E16" s="1" t="s">
        <v>575</v>
      </c>
      <c r="F16" s="1" t="s">
        <v>577</v>
      </c>
      <c r="G16" s="5">
        <v>50378.0</v>
      </c>
      <c r="H16" s="1">
        <v>16.0</v>
      </c>
      <c r="I16" s="8">
        <v>39692.0</v>
      </c>
    </row>
    <row r="17">
      <c r="A17" s="1" t="s">
        <v>119</v>
      </c>
      <c r="B17" s="1" t="s">
        <v>120</v>
      </c>
      <c r="C17" s="1" t="s">
        <v>121</v>
      </c>
      <c r="D17" s="1" t="s">
        <v>124</v>
      </c>
      <c r="E17" s="1" t="s">
        <v>123</v>
      </c>
      <c r="F17" s="1" t="s">
        <v>125</v>
      </c>
      <c r="G17" s="5">
        <v>50127.0</v>
      </c>
      <c r="H17" s="1">
        <v>17.0</v>
      </c>
      <c r="I17" s="1" t="s">
        <v>103</v>
      </c>
    </row>
    <row r="18">
      <c r="A18" s="1" t="s">
        <v>1037</v>
      </c>
      <c r="B18" s="1" t="s">
        <v>1038</v>
      </c>
      <c r="C18" s="1" t="s">
        <v>1039</v>
      </c>
      <c r="D18" s="1" t="s">
        <v>1041</v>
      </c>
      <c r="E18" s="1" t="s">
        <v>1040</v>
      </c>
      <c r="F18" s="1" t="s">
        <v>1042</v>
      </c>
      <c r="G18" s="5">
        <v>46585.0</v>
      </c>
      <c r="H18" s="1">
        <v>18.0</v>
      </c>
      <c r="I18" s="1" t="s">
        <v>103</v>
      </c>
    </row>
    <row r="19">
      <c r="A19" s="1" t="s">
        <v>37</v>
      </c>
      <c r="B19" s="1" t="s">
        <v>38</v>
      </c>
      <c r="C19" s="1" t="s">
        <v>39</v>
      </c>
      <c r="D19" s="1" t="s">
        <v>42</v>
      </c>
      <c r="E19" s="1" t="s">
        <v>41</v>
      </c>
      <c r="F19" s="1" t="s">
        <v>43</v>
      </c>
      <c r="G19" s="5">
        <v>46431.0</v>
      </c>
      <c r="H19" s="1">
        <v>19.0</v>
      </c>
      <c r="I19" s="1" t="s">
        <v>44</v>
      </c>
    </row>
    <row r="20">
      <c r="A20" s="1" t="s">
        <v>579</v>
      </c>
      <c r="B20" s="1" t="s">
        <v>580</v>
      </c>
      <c r="C20" s="1" t="s">
        <v>581</v>
      </c>
      <c r="D20" s="1" t="s">
        <v>583</v>
      </c>
      <c r="E20" s="1" t="s">
        <v>582</v>
      </c>
      <c r="F20" s="1" t="s">
        <v>584</v>
      </c>
      <c r="G20" s="5">
        <v>42030.0</v>
      </c>
      <c r="H20" s="1">
        <v>20.0</v>
      </c>
      <c r="I20" s="7">
        <v>40878.0</v>
      </c>
    </row>
    <row r="21">
      <c r="A21" s="1" t="s">
        <v>917</v>
      </c>
      <c r="B21" s="1" t="s">
        <v>918</v>
      </c>
      <c r="C21" s="1" t="s">
        <v>919</v>
      </c>
      <c r="D21" s="1" t="s">
        <v>920</v>
      </c>
      <c r="E21" s="1">
        <v>2.032495791E9</v>
      </c>
      <c r="G21" s="5">
        <v>41525.0</v>
      </c>
      <c r="H21" s="1">
        <v>21.0</v>
      </c>
      <c r="I21" s="1" t="s">
        <v>103</v>
      </c>
    </row>
    <row r="22">
      <c r="A22" s="1" t="s">
        <v>46</v>
      </c>
      <c r="B22" s="1" t="s">
        <v>47</v>
      </c>
      <c r="C22" s="1" t="s">
        <v>48</v>
      </c>
      <c r="D22" s="1" t="s">
        <v>51</v>
      </c>
      <c r="E22" s="1" t="s">
        <v>50</v>
      </c>
      <c r="F22" s="1" t="s">
        <v>52</v>
      </c>
      <c r="G22" s="5">
        <v>39259.0</v>
      </c>
      <c r="H22" s="1">
        <v>22.0</v>
      </c>
      <c r="I22" s="1" t="s">
        <v>25</v>
      </c>
    </row>
    <row r="23">
      <c r="A23" s="1" t="s">
        <v>235</v>
      </c>
      <c r="B23" s="1" t="s">
        <v>236</v>
      </c>
      <c r="C23" s="1" t="s">
        <v>237</v>
      </c>
      <c r="D23" s="1" t="s">
        <v>239</v>
      </c>
      <c r="E23" s="1" t="s">
        <v>238</v>
      </c>
      <c r="F23" s="1" t="s">
        <v>240</v>
      </c>
      <c r="G23" s="5">
        <v>38690.0</v>
      </c>
      <c r="H23" s="1">
        <v>23.0</v>
      </c>
      <c r="I23" s="1" t="s">
        <v>44</v>
      </c>
    </row>
    <row r="24">
      <c r="A24" s="1" t="s">
        <v>140</v>
      </c>
      <c r="B24" s="1" t="s">
        <v>593</v>
      </c>
      <c r="C24" s="1" t="s">
        <v>599</v>
      </c>
      <c r="D24" s="1" t="s">
        <v>601</v>
      </c>
      <c r="E24" s="1" t="s">
        <v>600</v>
      </c>
      <c r="F24" s="1" t="s">
        <v>602</v>
      </c>
      <c r="G24" s="5">
        <v>37856.0</v>
      </c>
      <c r="H24" s="1">
        <v>25.0</v>
      </c>
      <c r="I24" s="1" t="s">
        <v>114</v>
      </c>
    </row>
    <row r="25">
      <c r="A25" s="1" t="s">
        <v>405</v>
      </c>
      <c r="B25" s="1" t="s">
        <v>406</v>
      </c>
      <c r="C25" s="1" t="s">
        <v>407</v>
      </c>
      <c r="D25" s="1" t="s">
        <v>409</v>
      </c>
      <c r="E25" s="1" t="s">
        <v>408</v>
      </c>
      <c r="F25" s="1" t="s">
        <v>410</v>
      </c>
      <c r="G25" s="5">
        <v>36085.0</v>
      </c>
      <c r="H25" s="1">
        <v>26.0</v>
      </c>
      <c r="I25" s="1" t="s">
        <v>213</v>
      </c>
    </row>
    <row r="26">
      <c r="A26" s="1" t="s">
        <v>119</v>
      </c>
      <c r="B26" s="1" t="s">
        <v>708</v>
      </c>
      <c r="C26" s="1" t="s">
        <v>709</v>
      </c>
      <c r="D26" s="1" t="s">
        <v>711</v>
      </c>
      <c r="E26" s="1" t="s">
        <v>710</v>
      </c>
      <c r="F26" s="1" t="s">
        <v>712</v>
      </c>
      <c r="G26" s="5">
        <v>36076.0</v>
      </c>
      <c r="H26" s="1">
        <v>27.0</v>
      </c>
      <c r="I26" s="1" t="s">
        <v>324</v>
      </c>
    </row>
    <row r="27">
      <c r="A27" s="1" t="s">
        <v>424</v>
      </c>
      <c r="B27" s="1" t="s">
        <v>425</v>
      </c>
      <c r="C27" s="1" t="s">
        <v>426</v>
      </c>
      <c r="D27" s="1" t="s">
        <v>428</v>
      </c>
      <c r="E27" s="1" t="s">
        <v>427</v>
      </c>
      <c r="F27" s="1" t="s">
        <v>429</v>
      </c>
      <c r="G27" s="5">
        <v>35519.0</v>
      </c>
      <c r="H27" s="1">
        <v>28.0</v>
      </c>
      <c r="I27" s="1" t="s">
        <v>114</v>
      </c>
    </row>
    <row r="28">
      <c r="A28" s="1" t="s">
        <v>865</v>
      </c>
      <c r="B28" s="1" t="s">
        <v>866</v>
      </c>
      <c r="C28" s="1" t="s">
        <v>867</v>
      </c>
      <c r="D28" s="1" t="s">
        <v>869</v>
      </c>
      <c r="E28" s="1" t="s">
        <v>868</v>
      </c>
      <c r="F28" s="1" t="s">
        <v>870</v>
      </c>
      <c r="G28" s="5">
        <v>30000.0</v>
      </c>
      <c r="H28" s="1">
        <v>30.0</v>
      </c>
      <c r="I28" s="7">
        <v>40087.0</v>
      </c>
    </row>
    <row r="29">
      <c r="A29" s="1" t="s">
        <v>679</v>
      </c>
      <c r="B29" s="1" t="s">
        <v>1004</v>
      </c>
      <c r="C29" s="1" t="s">
        <v>1005</v>
      </c>
      <c r="D29" s="1" t="s">
        <v>1007</v>
      </c>
      <c r="E29" s="1" t="s">
        <v>1006</v>
      </c>
      <c r="F29" s="1" t="s">
        <v>1008</v>
      </c>
      <c r="G29" s="5">
        <v>29428.0</v>
      </c>
      <c r="H29" s="1">
        <v>31.0</v>
      </c>
      <c r="I29" s="1" t="s">
        <v>1087</v>
      </c>
    </row>
    <row r="30">
      <c r="A30" s="1" t="s">
        <v>119</v>
      </c>
      <c r="B30" s="1" t="s">
        <v>798</v>
      </c>
      <c r="C30" s="1" t="s">
        <v>799</v>
      </c>
      <c r="D30" s="1" t="s">
        <v>801</v>
      </c>
      <c r="E30" s="1" t="s">
        <v>800</v>
      </c>
      <c r="F30" s="1" t="s">
        <v>802</v>
      </c>
      <c r="G30" s="5">
        <v>29243.0</v>
      </c>
      <c r="H30" s="1">
        <v>32.0</v>
      </c>
      <c r="I30" s="1" t="s">
        <v>213</v>
      </c>
    </row>
    <row r="31">
      <c r="A31" s="1" t="s">
        <v>133</v>
      </c>
      <c r="B31" s="1" t="s">
        <v>134</v>
      </c>
      <c r="C31" s="1" t="s">
        <v>135</v>
      </c>
      <c r="D31" s="1" t="s">
        <v>138</v>
      </c>
      <c r="E31" s="1" t="s">
        <v>137</v>
      </c>
      <c r="F31" s="1" t="s">
        <v>139</v>
      </c>
      <c r="G31" s="5">
        <v>27359.0</v>
      </c>
      <c r="H31" s="1">
        <v>33.0</v>
      </c>
      <c r="I31" s="1" t="s">
        <v>114</v>
      </c>
    </row>
    <row r="32">
      <c r="A32" s="1" t="s">
        <v>77</v>
      </c>
      <c r="B32" s="1" t="s">
        <v>674</v>
      </c>
      <c r="C32" s="1" t="s">
        <v>675</v>
      </c>
      <c r="D32" s="1" t="s">
        <v>677</v>
      </c>
      <c r="E32" s="1" t="s">
        <v>676</v>
      </c>
      <c r="F32" s="1" t="s">
        <v>678</v>
      </c>
      <c r="G32" s="5">
        <v>27020.0</v>
      </c>
      <c r="H32" s="1">
        <v>34.0</v>
      </c>
      <c r="I32" s="7">
        <v>40878.0</v>
      </c>
    </row>
    <row r="33">
      <c r="A33" s="1" t="s">
        <v>830</v>
      </c>
      <c r="B33" s="1" t="s">
        <v>831</v>
      </c>
      <c r="C33" s="1" t="s">
        <v>832</v>
      </c>
      <c r="D33" s="1" t="s">
        <v>834</v>
      </c>
      <c r="E33" s="1" t="s">
        <v>833</v>
      </c>
      <c r="F33" s="1" t="s">
        <v>835</v>
      </c>
      <c r="G33" s="5">
        <v>24768.0</v>
      </c>
      <c r="H33" s="1">
        <v>35.0</v>
      </c>
      <c r="I33" s="1" t="s">
        <v>182</v>
      </c>
    </row>
    <row r="34">
      <c r="A34" s="1" t="s">
        <v>308</v>
      </c>
      <c r="B34" s="1" t="s">
        <v>309</v>
      </c>
      <c r="C34" s="1" t="s">
        <v>310</v>
      </c>
      <c r="D34" s="1" t="s">
        <v>312</v>
      </c>
      <c r="E34" s="1" t="s">
        <v>311</v>
      </c>
      <c r="F34" s="1" t="s">
        <v>313</v>
      </c>
      <c r="G34" s="5">
        <v>22999.0</v>
      </c>
      <c r="H34" s="1">
        <v>36.0</v>
      </c>
      <c r="I34" s="1" t="s">
        <v>103</v>
      </c>
    </row>
    <row r="35">
      <c r="A35" s="1" t="s">
        <v>784</v>
      </c>
      <c r="B35" s="1" t="s">
        <v>781</v>
      </c>
      <c r="C35" s="1" t="s">
        <v>785</v>
      </c>
      <c r="D35" s="1" t="s">
        <v>787</v>
      </c>
      <c r="E35" s="1" t="s">
        <v>786</v>
      </c>
      <c r="F35" s="1" t="s">
        <v>788</v>
      </c>
      <c r="G35" s="5">
        <v>22922.0</v>
      </c>
      <c r="H35" s="1">
        <v>37.0</v>
      </c>
      <c r="I35" s="1" t="s">
        <v>789</v>
      </c>
    </row>
    <row r="36">
      <c r="A36" s="1" t="s">
        <v>502</v>
      </c>
      <c r="B36" s="1" t="s">
        <v>971</v>
      </c>
      <c r="C36" s="1" t="s">
        <v>972</v>
      </c>
      <c r="D36" s="1" t="s">
        <v>974</v>
      </c>
      <c r="E36" s="1" t="s">
        <v>973</v>
      </c>
      <c r="F36" s="1" t="s">
        <v>975</v>
      </c>
      <c r="G36" s="5">
        <v>21190.0</v>
      </c>
      <c r="H36" s="1">
        <v>38.0</v>
      </c>
      <c r="I36" s="1" t="s">
        <v>103</v>
      </c>
    </row>
    <row r="37">
      <c r="A37" s="1" t="s">
        <v>254</v>
      </c>
      <c r="B37" s="1" t="s">
        <v>998</v>
      </c>
      <c r="C37" s="1" t="s">
        <v>999</v>
      </c>
      <c r="D37" s="1" t="s">
        <v>1001</v>
      </c>
      <c r="E37" s="1" t="s">
        <v>1000</v>
      </c>
      <c r="F37" s="1" t="s">
        <v>1002</v>
      </c>
      <c r="G37" s="5">
        <v>21112.0</v>
      </c>
      <c r="H37" s="1">
        <v>39.0</v>
      </c>
      <c r="I37" s="1" t="s">
        <v>1087</v>
      </c>
    </row>
    <row r="38">
      <c r="A38" s="1" t="s">
        <v>721</v>
      </c>
      <c r="B38" s="1" t="s">
        <v>722</v>
      </c>
      <c r="C38" s="1" t="s">
        <v>723</v>
      </c>
      <c r="D38" s="1" t="s">
        <v>725</v>
      </c>
      <c r="E38" s="1" t="s">
        <v>724</v>
      </c>
      <c r="F38" s="1" t="s">
        <v>726</v>
      </c>
      <c r="G38" s="5">
        <v>20975.0</v>
      </c>
      <c r="H38" s="1">
        <v>40.0</v>
      </c>
      <c r="I38" s="1" t="s">
        <v>213</v>
      </c>
    </row>
    <row r="39">
      <c r="A39" s="1" t="s">
        <v>77</v>
      </c>
      <c r="B39" s="1" t="s">
        <v>228</v>
      </c>
      <c r="C39" s="1" t="s">
        <v>229</v>
      </c>
      <c r="D39" s="1" t="s">
        <v>231</v>
      </c>
      <c r="E39" s="1" t="s">
        <v>230</v>
      </c>
      <c r="F39" s="1" t="s">
        <v>232</v>
      </c>
      <c r="G39" s="5">
        <v>20642.0</v>
      </c>
      <c r="H39" s="1">
        <v>41.0</v>
      </c>
      <c r="I39" s="1" t="s">
        <v>233</v>
      </c>
    </row>
    <row r="40">
      <c r="A40" s="1" t="s">
        <v>16</v>
      </c>
      <c r="B40" s="1" t="s">
        <v>17</v>
      </c>
      <c r="C40" s="1" t="s">
        <v>18</v>
      </c>
      <c r="D40" s="1" t="s">
        <v>23</v>
      </c>
      <c r="E40" s="1" t="s">
        <v>22</v>
      </c>
      <c r="F40" s="1" t="s">
        <v>24</v>
      </c>
      <c r="G40" s="5">
        <v>20112.0</v>
      </c>
      <c r="H40" s="1">
        <v>42.0</v>
      </c>
      <c r="I40" s="1" t="s">
        <v>25</v>
      </c>
    </row>
    <row r="41">
      <c r="A41" s="1" t="s">
        <v>176</v>
      </c>
      <c r="B41" s="1" t="s">
        <v>177</v>
      </c>
      <c r="C41" s="1" t="s">
        <v>178</v>
      </c>
      <c r="D41" s="1" t="s">
        <v>180</v>
      </c>
      <c r="E41" s="1" t="s">
        <v>179</v>
      </c>
      <c r="F41" s="1" t="s">
        <v>181</v>
      </c>
      <c r="G41" s="5">
        <v>20034.0</v>
      </c>
      <c r="H41" s="1">
        <v>43.0</v>
      </c>
      <c r="I41" s="1" t="s">
        <v>182</v>
      </c>
    </row>
    <row r="42">
      <c r="A42" s="1" t="s">
        <v>592</v>
      </c>
      <c r="B42" s="1" t="s">
        <v>593</v>
      </c>
      <c r="C42" s="1" t="s">
        <v>594</v>
      </c>
      <c r="D42" s="1" t="s">
        <v>596</v>
      </c>
      <c r="E42" s="1" t="s">
        <v>595</v>
      </c>
      <c r="F42" s="1" t="s">
        <v>597</v>
      </c>
      <c r="G42" s="5">
        <v>19810.0</v>
      </c>
      <c r="H42" s="1">
        <v>44.0</v>
      </c>
      <c r="I42" s="1" t="s">
        <v>324</v>
      </c>
    </row>
    <row r="43">
      <c r="A43" s="1" t="s">
        <v>1044</v>
      </c>
      <c r="B43" s="1" t="s">
        <v>1045</v>
      </c>
      <c r="C43" s="1" t="s">
        <v>1046</v>
      </c>
      <c r="D43" s="1" t="s">
        <v>1048</v>
      </c>
      <c r="E43" s="1" t="s">
        <v>1047</v>
      </c>
      <c r="F43" s="1" t="s">
        <v>1049</v>
      </c>
      <c r="G43" s="5">
        <v>19565.0</v>
      </c>
      <c r="H43" s="1">
        <v>45.0</v>
      </c>
      <c r="I43" s="1" t="s">
        <v>152</v>
      </c>
    </row>
    <row r="44">
      <c r="A44" s="1" t="s">
        <v>96</v>
      </c>
      <c r="B44" s="1" t="s">
        <v>97</v>
      </c>
      <c r="C44" s="1" t="s">
        <v>98</v>
      </c>
      <c r="D44" s="1" t="s">
        <v>101</v>
      </c>
      <c r="E44" s="1" t="s">
        <v>100</v>
      </c>
      <c r="F44" s="1" t="s">
        <v>102</v>
      </c>
      <c r="G44" s="5">
        <v>19523.0</v>
      </c>
      <c r="H44" s="1">
        <v>46.0</v>
      </c>
      <c r="I44" s="1" t="s">
        <v>103</v>
      </c>
    </row>
    <row r="45">
      <c r="A45" s="1" t="s">
        <v>514</v>
      </c>
      <c r="B45" s="1" t="s">
        <v>515</v>
      </c>
      <c r="C45" s="1" t="s">
        <v>516</v>
      </c>
      <c r="D45" s="1" t="s">
        <v>518</v>
      </c>
      <c r="E45" s="1" t="s">
        <v>517</v>
      </c>
      <c r="F45" s="1" t="s">
        <v>519</v>
      </c>
      <c r="G45" s="5">
        <v>19385.0</v>
      </c>
      <c r="H45" s="1">
        <v>47.0</v>
      </c>
      <c r="I45" s="1" t="s">
        <v>103</v>
      </c>
    </row>
    <row r="46">
      <c r="A46" s="1" t="s">
        <v>77</v>
      </c>
      <c r="B46" s="1" t="s">
        <v>393</v>
      </c>
      <c r="C46" s="1" t="s">
        <v>394</v>
      </c>
      <c r="D46" s="1" t="s">
        <v>396</v>
      </c>
      <c r="E46" s="1" t="s">
        <v>395</v>
      </c>
      <c r="F46" s="1" t="s">
        <v>397</v>
      </c>
      <c r="G46" s="5">
        <v>19225.0</v>
      </c>
      <c r="H46" s="1">
        <v>48.0</v>
      </c>
      <c r="I46" s="1" t="s">
        <v>152</v>
      </c>
    </row>
    <row r="47">
      <c r="A47" s="1" t="s">
        <v>265</v>
      </c>
      <c r="B47" s="1" t="s">
        <v>266</v>
      </c>
      <c r="C47" s="1" t="s">
        <v>267</v>
      </c>
      <c r="D47" s="1" t="s">
        <v>269</v>
      </c>
      <c r="E47" s="1" t="s">
        <v>268</v>
      </c>
      <c r="F47" s="1" t="s">
        <v>270</v>
      </c>
      <c r="G47" s="5">
        <v>18397.0</v>
      </c>
      <c r="H47" s="1">
        <v>49.0</v>
      </c>
      <c r="I47" s="1" t="s">
        <v>213</v>
      </c>
    </row>
    <row r="48">
      <c r="A48" s="1" t="s">
        <v>318</v>
      </c>
      <c r="B48" s="1" t="s">
        <v>414</v>
      </c>
      <c r="C48" s="1" t="s">
        <v>415</v>
      </c>
      <c r="D48" s="1" t="s">
        <v>417</v>
      </c>
      <c r="E48" s="1" t="s">
        <v>416</v>
      </c>
      <c r="F48" s="1" t="s">
        <v>418</v>
      </c>
      <c r="G48" s="5">
        <v>17566.0</v>
      </c>
      <c r="H48" s="1">
        <v>50.0</v>
      </c>
      <c r="I48" s="1" t="s">
        <v>152</v>
      </c>
    </row>
    <row r="49">
      <c r="A49" s="1" t="s">
        <v>653</v>
      </c>
      <c r="B49" s="1" t="s">
        <v>654</v>
      </c>
      <c r="C49" s="1" t="s">
        <v>655</v>
      </c>
      <c r="D49" s="1" t="s">
        <v>657</v>
      </c>
      <c r="E49" s="1" t="s">
        <v>656</v>
      </c>
      <c r="F49" s="1" t="s">
        <v>658</v>
      </c>
      <c r="G49" s="5">
        <v>17172.0</v>
      </c>
      <c r="H49" s="1">
        <v>51.0</v>
      </c>
      <c r="I49" s="1" t="s">
        <v>213</v>
      </c>
    </row>
    <row r="50">
      <c r="A50" s="1" t="s">
        <v>714</v>
      </c>
      <c r="B50" s="1" t="s">
        <v>715</v>
      </c>
      <c r="C50" s="1" t="s">
        <v>716</v>
      </c>
      <c r="D50" s="1" t="s">
        <v>718</v>
      </c>
      <c r="E50" s="1" t="s">
        <v>717</v>
      </c>
      <c r="F50" s="1" t="s">
        <v>719</v>
      </c>
      <c r="G50" s="5">
        <v>17025.0</v>
      </c>
      <c r="H50" s="1">
        <v>53.0</v>
      </c>
      <c r="I50" s="1" t="s">
        <v>25</v>
      </c>
    </row>
    <row r="51">
      <c r="A51" s="1" t="s">
        <v>172</v>
      </c>
      <c r="B51" s="1" t="s">
        <v>949</v>
      </c>
      <c r="C51" s="1" t="s">
        <v>950</v>
      </c>
      <c r="D51" s="1" t="s">
        <v>952</v>
      </c>
      <c r="E51" s="1" t="s">
        <v>951</v>
      </c>
      <c r="F51" s="1" t="s">
        <v>953</v>
      </c>
      <c r="G51" s="5">
        <v>16883.0</v>
      </c>
      <c r="H51" s="1">
        <v>54.0</v>
      </c>
      <c r="I51" s="1" t="s">
        <v>44</v>
      </c>
    </row>
    <row r="52">
      <c r="A52" s="1" t="s">
        <v>612</v>
      </c>
      <c r="B52" s="1" t="s">
        <v>613</v>
      </c>
      <c r="C52" s="1" t="s">
        <v>614</v>
      </c>
      <c r="D52" s="1" t="s">
        <v>616</v>
      </c>
      <c r="E52" s="1" t="s">
        <v>615</v>
      </c>
      <c r="F52" s="1" t="s">
        <v>617</v>
      </c>
      <c r="G52" s="5">
        <v>15830.0</v>
      </c>
      <c r="H52" s="1">
        <v>55.0</v>
      </c>
      <c r="I52" s="1" t="s">
        <v>25</v>
      </c>
    </row>
    <row r="53">
      <c r="A53" s="1" t="s">
        <v>254</v>
      </c>
      <c r="B53" s="1" t="s">
        <v>965</v>
      </c>
      <c r="C53" s="1" t="s">
        <v>966</v>
      </c>
      <c r="D53" s="1" t="s">
        <v>968</v>
      </c>
      <c r="E53" s="1" t="s">
        <v>967</v>
      </c>
      <c r="F53" s="1" t="s">
        <v>969</v>
      </c>
      <c r="G53" s="5">
        <v>15437.0</v>
      </c>
      <c r="H53" s="1">
        <v>56.0</v>
      </c>
      <c r="I53" s="1" t="s">
        <v>114</v>
      </c>
    </row>
    <row r="54">
      <c r="A54" s="1" t="s">
        <v>739</v>
      </c>
      <c r="B54" s="1" t="s">
        <v>740</v>
      </c>
      <c r="C54" s="1" t="s">
        <v>741</v>
      </c>
      <c r="D54" s="1" t="s">
        <v>743</v>
      </c>
      <c r="E54" s="1" t="s">
        <v>742</v>
      </c>
      <c r="F54" s="1" t="s">
        <v>744</v>
      </c>
      <c r="G54" s="5">
        <v>15070.0</v>
      </c>
      <c r="H54" s="1">
        <v>57.0</v>
      </c>
      <c r="I54" s="1" t="s">
        <v>182</v>
      </c>
    </row>
    <row r="55">
      <c r="A55" s="1" t="s">
        <v>326</v>
      </c>
      <c r="B55" s="1" t="s">
        <v>484</v>
      </c>
      <c r="C55" s="1" t="s">
        <v>485</v>
      </c>
      <c r="D55" s="1" t="s">
        <v>487</v>
      </c>
      <c r="E55" s="1" t="s">
        <v>486</v>
      </c>
      <c r="F55" s="1" t="s">
        <v>488</v>
      </c>
      <c r="G55" s="5">
        <v>14775.0</v>
      </c>
      <c r="H55" s="1">
        <v>58.0</v>
      </c>
      <c r="I55" s="1" t="s">
        <v>213</v>
      </c>
    </row>
    <row r="56">
      <c r="A56" s="1" t="s">
        <v>679</v>
      </c>
      <c r="B56" s="1" t="s">
        <v>891</v>
      </c>
      <c r="C56" s="1" t="s">
        <v>892</v>
      </c>
      <c r="D56" s="1" t="s">
        <v>894</v>
      </c>
      <c r="E56" s="1" t="s">
        <v>893</v>
      </c>
      <c r="F56" s="1" t="s">
        <v>895</v>
      </c>
      <c r="G56" s="5">
        <v>14638.0</v>
      </c>
      <c r="H56" s="1">
        <v>59.0</v>
      </c>
      <c r="I56" s="1" t="s">
        <v>182</v>
      </c>
    </row>
    <row r="57">
      <c r="A57" s="1" t="s">
        <v>146</v>
      </c>
      <c r="B57" s="1" t="s">
        <v>147</v>
      </c>
      <c r="C57" s="1" t="s">
        <v>148</v>
      </c>
      <c r="D57" s="1" t="s">
        <v>150</v>
      </c>
      <c r="E57" s="1" t="s">
        <v>149</v>
      </c>
      <c r="F57" s="1" t="s">
        <v>151</v>
      </c>
      <c r="G57" s="5">
        <v>14319.0</v>
      </c>
      <c r="H57" s="1">
        <v>60.0</v>
      </c>
      <c r="I57" s="1" t="s">
        <v>152</v>
      </c>
    </row>
    <row r="58">
      <c r="A58" s="1" t="s">
        <v>690</v>
      </c>
      <c r="B58" s="1" t="s">
        <v>904</v>
      </c>
      <c r="C58" s="1" t="s">
        <v>905</v>
      </c>
      <c r="D58" s="1" t="s">
        <v>907</v>
      </c>
      <c r="E58" s="1" t="s">
        <v>906</v>
      </c>
      <c r="F58" s="1" t="s">
        <v>908</v>
      </c>
      <c r="G58" s="5">
        <v>14297.0</v>
      </c>
      <c r="H58" s="1">
        <v>61.0</v>
      </c>
      <c r="I58" s="1" t="s">
        <v>562</v>
      </c>
    </row>
    <row r="59">
      <c r="A59" s="1" t="s">
        <v>431</v>
      </c>
      <c r="B59" s="1" t="s">
        <v>432</v>
      </c>
      <c r="C59" s="1" t="s">
        <v>433</v>
      </c>
      <c r="D59" s="1" t="s">
        <v>435</v>
      </c>
      <c r="E59" s="1" t="s">
        <v>434</v>
      </c>
      <c r="F59" s="1" t="s">
        <v>436</v>
      </c>
      <c r="G59" s="5">
        <v>14040.0</v>
      </c>
      <c r="H59" s="1">
        <v>62.0</v>
      </c>
      <c r="I59" s="1" t="s">
        <v>114</v>
      </c>
    </row>
    <row r="60">
      <c r="A60" s="1" t="s">
        <v>498</v>
      </c>
      <c r="B60" s="1" t="s">
        <v>566</v>
      </c>
      <c r="C60" s="1" t="s">
        <v>567</v>
      </c>
      <c r="D60" s="1" t="s">
        <v>569</v>
      </c>
      <c r="E60" s="1" t="s">
        <v>568</v>
      </c>
      <c r="F60" s="1" t="s">
        <v>570</v>
      </c>
      <c r="G60" s="5">
        <v>13509.0</v>
      </c>
      <c r="H60" s="1">
        <v>63.0</v>
      </c>
      <c r="I60" s="1" t="s">
        <v>103</v>
      </c>
    </row>
    <row r="61">
      <c r="A61" s="1" t="s">
        <v>200</v>
      </c>
      <c r="B61" s="1" t="s">
        <v>660</v>
      </c>
      <c r="C61" s="1" t="s">
        <v>661</v>
      </c>
      <c r="D61" s="1" t="s">
        <v>663</v>
      </c>
      <c r="E61" s="1" t="s">
        <v>662</v>
      </c>
      <c r="F61" s="1" t="s">
        <v>664</v>
      </c>
      <c r="G61" s="5">
        <v>13124.0</v>
      </c>
      <c r="H61" s="1">
        <v>64.0</v>
      </c>
      <c r="I61" s="1" t="s">
        <v>630</v>
      </c>
    </row>
    <row r="62">
      <c r="A62" s="1" t="s">
        <v>768</v>
      </c>
      <c r="B62" s="1" t="s">
        <v>769</v>
      </c>
      <c r="C62" s="1" t="s">
        <v>770</v>
      </c>
      <c r="D62" s="1" t="s">
        <v>772</v>
      </c>
      <c r="E62" s="1" t="s">
        <v>771</v>
      </c>
      <c r="F62" s="1" t="s">
        <v>773</v>
      </c>
      <c r="G62" s="5">
        <v>13074.0</v>
      </c>
      <c r="H62" s="1">
        <v>65.0</v>
      </c>
      <c r="I62" s="1" t="s">
        <v>44</v>
      </c>
    </row>
    <row r="63">
      <c r="A63" s="1" t="s">
        <v>89</v>
      </c>
      <c r="B63" s="1" t="s">
        <v>842</v>
      </c>
      <c r="C63" s="1" t="s">
        <v>843</v>
      </c>
      <c r="D63" s="1" t="s">
        <v>845</v>
      </c>
      <c r="E63" s="1" t="s">
        <v>844</v>
      </c>
      <c r="F63" s="1" t="s">
        <v>846</v>
      </c>
      <c r="G63" s="5">
        <v>12829.0</v>
      </c>
      <c r="H63" s="1">
        <v>66.0</v>
      </c>
      <c r="I63" s="1" t="s">
        <v>103</v>
      </c>
    </row>
    <row r="64">
      <c r="A64" s="1" t="s">
        <v>489</v>
      </c>
      <c r="B64" s="1" t="s">
        <v>619</v>
      </c>
      <c r="C64" s="1" t="s">
        <v>620</v>
      </c>
      <c r="D64" s="1" t="s">
        <v>622</v>
      </c>
      <c r="E64" s="1" t="s">
        <v>621</v>
      </c>
      <c r="F64" s="1" t="s">
        <v>623</v>
      </c>
      <c r="G64" s="5">
        <v>12571.0</v>
      </c>
      <c r="H64" s="1">
        <v>67.0</v>
      </c>
      <c r="I64" s="1" t="s">
        <v>213</v>
      </c>
    </row>
    <row r="65">
      <c r="A65" s="1" t="s">
        <v>818</v>
      </c>
      <c r="B65" s="1" t="s">
        <v>819</v>
      </c>
      <c r="C65" s="1" t="s">
        <v>820</v>
      </c>
      <c r="D65" s="1" t="s">
        <v>822</v>
      </c>
      <c r="E65" s="1" t="s">
        <v>821</v>
      </c>
      <c r="F65" s="1" t="s">
        <v>823</v>
      </c>
      <c r="G65" s="5">
        <v>12357.0</v>
      </c>
      <c r="H65" s="1">
        <v>68.0</v>
      </c>
      <c r="I65" s="1" t="s">
        <v>103</v>
      </c>
    </row>
    <row r="66">
      <c r="A66" s="1" t="s">
        <v>631</v>
      </c>
      <c r="B66" s="1" t="s">
        <v>986</v>
      </c>
      <c r="C66" s="1" t="s">
        <v>987</v>
      </c>
      <c r="D66" s="1" t="s">
        <v>989</v>
      </c>
      <c r="E66" s="1" t="s">
        <v>988</v>
      </c>
      <c r="F66" s="1" t="s">
        <v>990</v>
      </c>
      <c r="G66" s="5">
        <v>12314.0</v>
      </c>
      <c r="H66" s="1">
        <v>69.0</v>
      </c>
      <c r="I66" s="1" t="s">
        <v>324</v>
      </c>
    </row>
    <row r="67">
      <c r="A67" s="1" t="s">
        <v>536</v>
      </c>
      <c r="B67" s="1" t="s">
        <v>537</v>
      </c>
      <c r="C67" s="1" t="s">
        <v>538</v>
      </c>
      <c r="D67" s="1" t="s">
        <v>540</v>
      </c>
      <c r="E67" s="1" t="s">
        <v>539</v>
      </c>
      <c r="F67" s="1" t="s">
        <v>541</v>
      </c>
      <c r="G67" s="5">
        <v>12302.0</v>
      </c>
      <c r="H67" s="1">
        <v>70.0</v>
      </c>
      <c r="I67" s="1" t="s">
        <v>213</v>
      </c>
    </row>
    <row r="68">
      <c r="A68" s="1" t="s">
        <v>851</v>
      </c>
      <c r="B68" s="1" t="s">
        <v>852</v>
      </c>
      <c r="C68" s="1" t="s">
        <v>853</v>
      </c>
      <c r="D68" s="1" t="s">
        <v>855</v>
      </c>
      <c r="E68" s="1" t="s">
        <v>854</v>
      </c>
      <c r="F68" s="1" t="s">
        <v>856</v>
      </c>
      <c r="G68" s="5">
        <v>11990.0</v>
      </c>
      <c r="H68" s="1">
        <v>71.0</v>
      </c>
      <c r="I68" s="1" t="s">
        <v>103</v>
      </c>
    </row>
    <row r="69">
      <c r="A69" s="1" t="s">
        <v>548</v>
      </c>
      <c r="B69" s="1" t="s">
        <v>549</v>
      </c>
      <c r="C69" s="1" t="s">
        <v>550</v>
      </c>
      <c r="D69" s="1" t="s">
        <v>552</v>
      </c>
      <c r="E69" s="1" t="s">
        <v>551</v>
      </c>
      <c r="F69" s="1" t="s">
        <v>553</v>
      </c>
      <c r="G69" s="5">
        <v>11918.0</v>
      </c>
      <c r="H69" s="1">
        <v>72.0</v>
      </c>
      <c r="I69" s="1" t="s">
        <v>114</v>
      </c>
    </row>
    <row r="70">
      <c r="A70" s="1" t="s">
        <v>207</v>
      </c>
      <c r="B70" s="1" t="s">
        <v>208</v>
      </c>
      <c r="C70" s="1" t="s">
        <v>209</v>
      </c>
      <c r="D70" s="1" t="s">
        <v>211</v>
      </c>
      <c r="E70" s="1" t="s">
        <v>210</v>
      </c>
      <c r="F70" s="1" t="s">
        <v>212</v>
      </c>
      <c r="G70" s="5">
        <v>11002.0</v>
      </c>
      <c r="H70" s="1">
        <v>73.0</v>
      </c>
      <c r="I70" s="1" t="s">
        <v>213</v>
      </c>
    </row>
    <row r="71">
      <c r="A71" s="1" t="s">
        <v>1017</v>
      </c>
      <c r="B71" s="1" t="s">
        <v>1011</v>
      </c>
      <c r="C71" s="1" t="s">
        <v>1018</v>
      </c>
      <c r="D71" s="1" t="s">
        <v>1020</v>
      </c>
      <c r="E71" s="1" t="s">
        <v>1019</v>
      </c>
      <c r="F71" s="1" t="s">
        <v>1021</v>
      </c>
      <c r="G71" s="5">
        <v>10875.0</v>
      </c>
      <c r="H71" s="1">
        <v>74.0</v>
      </c>
      <c r="I71" s="1" t="s">
        <v>324</v>
      </c>
    </row>
    <row r="72">
      <c r="A72" s="1" t="s">
        <v>1010</v>
      </c>
      <c r="B72" s="1" t="s">
        <v>1011</v>
      </c>
      <c r="C72" s="1" t="s">
        <v>1012</v>
      </c>
      <c r="D72" s="1" t="s">
        <v>1014</v>
      </c>
      <c r="E72" s="1" t="s">
        <v>1013</v>
      </c>
      <c r="F72" s="1" t="s">
        <v>1015</v>
      </c>
      <c r="G72" s="5">
        <v>10736.0</v>
      </c>
      <c r="H72" s="1">
        <v>75.0</v>
      </c>
      <c r="I72" s="1" t="s">
        <v>152</v>
      </c>
    </row>
    <row r="73">
      <c r="A73" s="1" t="s">
        <v>65</v>
      </c>
      <c r="B73" s="1" t="s">
        <v>215</v>
      </c>
      <c r="C73" s="1" t="s">
        <v>216</v>
      </c>
      <c r="D73" s="1" t="s">
        <v>219</v>
      </c>
      <c r="E73" s="1" t="s">
        <v>218</v>
      </c>
      <c r="F73" s="1" t="s">
        <v>220</v>
      </c>
      <c r="G73" s="5">
        <v>10733.0</v>
      </c>
      <c r="H73" s="1">
        <v>76.0</v>
      </c>
      <c r="I73" s="1" t="s">
        <v>25</v>
      </c>
    </row>
    <row r="74">
      <c r="A74" s="1" t="s">
        <v>140</v>
      </c>
      <c r="B74" s="1" t="s">
        <v>665</v>
      </c>
      <c r="C74" s="1" t="s">
        <v>669</v>
      </c>
      <c r="D74" s="1" t="s">
        <v>671</v>
      </c>
      <c r="E74" s="1" t="s">
        <v>670</v>
      </c>
      <c r="F74" s="1" t="s">
        <v>672</v>
      </c>
      <c r="G74" s="5">
        <v>10327.0</v>
      </c>
      <c r="H74" s="1">
        <v>77.0</v>
      </c>
      <c r="I74" s="1" t="s">
        <v>182</v>
      </c>
    </row>
    <row r="75">
      <c r="A75" s="1" t="s">
        <v>326</v>
      </c>
      <c r="B75" s="1" t="s">
        <v>327</v>
      </c>
      <c r="C75" s="1" t="s">
        <v>328</v>
      </c>
      <c r="D75" s="1" t="s">
        <v>331</v>
      </c>
      <c r="E75" s="1" t="s">
        <v>330</v>
      </c>
      <c r="F75" s="1" t="s">
        <v>332</v>
      </c>
      <c r="G75" s="5">
        <v>10270.0</v>
      </c>
      <c r="H75" s="1">
        <v>78.0</v>
      </c>
      <c r="I75" s="1" t="s">
        <v>182</v>
      </c>
    </row>
    <row r="76">
      <c r="A76" s="1" t="s">
        <v>172</v>
      </c>
      <c r="B76" s="1" t="s">
        <v>459</v>
      </c>
      <c r="C76" s="1" t="s">
        <v>460</v>
      </c>
      <c r="D76" s="1" t="s">
        <v>462</v>
      </c>
      <c r="E76" s="1" t="s">
        <v>461</v>
      </c>
      <c r="F76" s="1" t="s">
        <v>463</v>
      </c>
      <c r="G76" s="5">
        <v>10063.0</v>
      </c>
      <c r="H76" s="1">
        <v>79.0</v>
      </c>
      <c r="I76" s="7">
        <v>40878.0</v>
      </c>
    </row>
    <row r="77">
      <c r="A77" s="1" t="s">
        <v>468</v>
      </c>
      <c r="B77" s="1" t="s">
        <v>469</v>
      </c>
      <c r="C77" s="1" t="s">
        <v>470</v>
      </c>
      <c r="D77" s="1" t="s">
        <v>472</v>
      </c>
      <c r="E77" s="1" t="s">
        <v>471</v>
      </c>
      <c r="F77" s="1" t="s">
        <v>473</v>
      </c>
      <c r="G77" s="5">
        <v>9739.0</v>
      </c>
      <c r="H77" s="1">
        <v>80.0</v>
      </c>
      <c r="I77" s="1" t="s">
        <v>114</v>
      </c>
    </row>
    <row r="78">
      <c r="A78" s="1" t="s">
        <v>176</v>
      </c>
      <c r="B78" s="1" t="s">
        <v>343</v>
      </c>
      <c r="C78" s="1" t="s">
        <v>344</v>
      </c>
      <c r="D78" s="1" t="s">
        <v>346</v>
      </c>
      <c r="E78" s="1" t="s">
        <v>345</v>
      </c>
      <c r="F78" s="1" t="s">
        <v>347</v>
      </c>
      <c r="G78" s="5">
        <v>9641.0</v>
      </c>
      <c r="H78" s="1">
        <v>81.0</v>
      </c>
      <c r="I78" s="1" t="s">
        <v>25</v>
      </c>
    </row>
    <row r="79">
      <c r="A79" s="1" t="s">
        <v>77</v>
      </c>
      <c r="B79" s="1" t="s">
        <v>360</v>
      </c>
      <c r="C79" s="1" t="s">
        <v>361</v>
      </c>
      <c r="D79" s="1" t="s">
        <v>363</v>
      </c>
      <c r="E79" s="1" t="s">
        <v>362</v>
      </c>
      <c r="F79" s="1" t="s">
        <v>364</v>
      </c>
      <c r="G79" s="5">
        <v>9633.0</v>
      </c>
      <c r="H79" s="1">
        <v>82.0</v>
      </c>
      <c r="I79" s="1" t="s">
        <v>103</v>
      </c>
    </row>
    <row r="80">
      <c r="A80" s="1" t="s">
        <v>349</v>
      </c>
      <c r="B80" s="1" t="s">
        <v>350</v>
      </c>
      <c r="C80" s="1" t="s">
        <v>351</v>
      </c>
      <c r="D80" s="1" t="s">
        <v>353</v>
      </c>
      <c r="E80" s="1" t="s">
        <v>352</v>
      </c>
      <c r="F80" s="1" t="s">
        <v>354</v>
      </c>
      <c r="G80" s="5">
        <v>9480.0</v>
      </c>
      <c r="H80" s="1">
        <v>83.0</v>
      </c>
      <c r="I80" s="1" t="s">
        <v>213</v>
      </c>
    </row>
    <row r="81">
      <c r="A81" s="1" t="s">
        <v>858</v>
      </c>
      <c r="B81" s="1" t="s">
        <v>859</v>
      </c>
      <c r="C81" s="1" t="s">
        <v>860</v>
      </c>
      <c r="D81" s="1" t="s">
        <v>862</v>
      </c>
      <c r="E81" s="1" t="s">
        <v>861</v>
      </c>
      <c r="F81" s="1" t="s">
        <v>863</v>
      </c>
      <c r="G81" s="5">
        <v>9375.0</v>
      </c>
      <c r="H81" s="1">
        <v>84.0</v>
      </c>
      <c r="I81" s="1" t="s">
        <v>182</v>
      </c>
    </row>
    <row r="82">
      <c r="A82" s="1" t="s">
        <v>386</v>
      </c>
      <c r="B82" s="1" t="s">
        <v>387</v>
      </c>
      <c r="C82" s="1" t="s">
        <v>388</v>
      </c>
      <c r="D82" s="1" t="s">
        <v>390</v>
      </c>
      <c r="E82" s="1" t="s">
        <v>389</v>
      </c>
      <c r="F82" s="1" t="s">
        <v>391</v>
      </c>
      <c r="G82" s="5">
        <v>9215.0</v>
      </c>
      <c r="H82" s="1">
        <v>85.0</v>
      </c>
      <c r="I82" s="7">
        <v>40483.0</v>
      </c>
    </row>
    <row r="83">
      <c r="A83" s="1" t="s">
        <v>200</v>
      </c>
      <c r="B83" s="1" t="s">
        <v>542</v>
      </c>
      <c r="C83" s="1" t="s">
        <v>543</v>
      </c>
      <c r="D83" s="1" t="s">
        <v>545</v>
      </c>
      <c r="E83" s="1" t="s">
        <v>544</v>
      </c>
      <c r="F83" s="1" t="s">
        <v>546</v>
      </c>
      <c r="G83" s="5">
        <v>9064.0</v>
      </c>
      <c r="H83" s="1">
        <v>86.0</v>
      </c>
      <c r="I83" s="1" t="s">
        <v>152</v>
      </c>
    </row>
    <row r="84">
      <c r="A84" s="1" t="s">
        <v>690</v>
      </c>
      <c r="B84" s="1" t="s">
        <v>691</v>
      </c>
      <c r="C84" s="1" t="s">
        <v>692</v>
      </c>
      <c r="D84" s="1" t="s">
        <v>694</v>
      </c>
      <c r="E84" s="1" t="s">
        <v>693</v>
      </c>
      <c r="F84" s="1" t="s">
        <v>695</v>
      </c>
      <c r="G84" s="5">
        <v>8500.0</v>
      </c>
      <c r="H84" s="1">
        <v>87.0</v>
      </c>
      <c r="I84" s="1" t="s">
        <v>152</v>
      </c>
    </row>
    <row r="85">
      <c r="A85" s="1" t="s">
        <v>89</v>
      </c>
      <c r="B85" s="1" t="s">
        <v>108</v>
      </c>
      <c r="C85" s="1" t="s">
        <v>109</v>
      </c>
      <c r="D85" s="1" t="s">
        <v>112</v>
      </c>
      <c r="E85" s="1" t="s">
        <v>111</v>
      </c>
      <c r="F85" s="1" t="s">
        <v>113</v>
      </c>
      <c r="G85" s="5">
        <v>8493.0</v>
      </c>
      <c r="H85" s="1">
        <v>88.0</v>
      </c>
      <c r="I85" s="1" t="s">
        <v>114</v>
      </c>
    </row>
    <row r="86">
      <c r="A86" s="1" t="s">
        <v>154</v>
      </c>
      <c r="B86" s="1" t="s">
        <v>155</v>
      </c>
      <c r="C86" s="1" t="s">
        <v>156</v>
      </c>
      <c r="D86" s="1" t="s">
        <v>158</v>
      </c>
      <c r="E86" s="1" t="s">
        <v>157</v>
      </c>
      <c r="F86" s="1" t="s">
        <v>159</v>
      </c>
      <c r="G86" s="5">
        <v>8158.0</v>
      </c>
      <c r="H86" s="1">
        <v>89.0</v>
      </c>
      <c r="I86" s="1" t="s">
        <v>103</v>
      </c>
    </row>
    <row r="87">
      <c r="A87" s="1" t="s">
        <v>222</v>
      </c>
      <c r="B87" s="1" t="s">
        <v>557</v>
      </c>
      <c r="C87" s="1" t="s">
        <v>558</v>
      </c>
      <c r="D87" s="1" t="s">
        <v>560</v>
      </c>
      <c r="E87" s="1" t="s">
        <v>559</v>
      </c>
      <c r="F87" s="1" t="s">
        <v>561</v>
      </c>
      <c r="G87" s="5">
        <v>7765.0</v>
      </c>
      <c r="H87" s="1">
        <v>90.0</v>
      </c>
      <c r="I87" s="1" t="s">
        <v>562</v>
      </c>
    </row>
    <row r="88">
      <c r="A88" s="1" t="s">
        <v>222</v>
      </c>
      <c r="B88" s="1" t="s">
        <v>215</v>
      </c>
      <c r="C88" s="1" t="s">
        <v>223</v>
      </c>
      <c r="D88" s="1" t="s">
        <v>225</v>
      </c>
      <c r="E88" s="1" t="s">
        <v>224</v>
      </c>
      <c r="F88" s="1" t="s">
        <v>226</v>
      </c>
      <c r="G88" s="5">
        <v>7711.0</v>
      </c>
      <c r="H88" s="1">
        <v>91.0</v>
      </c>
      <c r="I88" s="1" t="s">
        <v>114</v>
      </c>
    </row>
    <row r="89">
      <c r="A89" s="1" t="s">
        <v>119</v>
      </c>
      <c r="B89" s="1" t="s">
        <v>503</v>
      </c>
      <c r="C89" s="1" t="s">
        <v>506</v>
      </c>
      <c r="D89" s="1" t="s">
        <v>508</v>
      </c>
      <c r="E89" s="1" t="s">
        <v>507</v>
      </c>
      <c r="F89" s="1" t="s">
        <v>509</v>
      </c>
      <c r="G89" s="5">
        <v>7637.0</v>
      </c>
      <c r="H89" s="1">
        <v>92.0</v>
      </c>
      <c r="I89" s="1" t="s">
        <v>182</v>
      </c>
    </row>
    <row r="90">
      <c r="A90" s="1" t="s">
        <v>235</v>
      </c>
      <c r="B90" s="1" t="s">
        <v>775</v>
      </c>
      <c r="C90" s="1" t="s">
        <v>776</v>
      </c>
      <c r="D90" s="1" t="s">
        <v>778</v>
      </c>
      <c r="E90" s="1" t="s">
        <v>777</v>
      </c>
      <c r="F90" s="1" t="s">
        <v>779</v>
      </c>
      <c r="G90" s="5">
        <v>7610.0</v>
      </c>
      <c r="H90" s="1">
        <v>93.0</v>
      </c>
      <c r="I90" s="1" t="s">
        <v>114</v>
      </c>
    </row>
    <row r="91">
      <c r="A91" s="1" t="s">
        <v>169</v>
      </c>
      <c r="B91" s="1" t="s">
        <v>929</v>
      </c>
      <c r="C91" s="1" t="s">
        <v>930</v>
      </c>
      <c r="D91" s="1" t="s">
        <v>932</v>
      </c>
      <c r="E91" s="1" t="s">
        <v>931</v>
      </c>
      <c r="F91" s="1" t="s">
        <v>933</v>
      </c>
      <c r="G91" s="5">
        <v>7575.0</v>
      </c>
      <c r="H91" s="1">
        <v>94.0</v>
      </c>
      <c r="I91" s="1" t="s">
        <v>630</v>
      </c>
    </row>
    <row r="92">
      <c r="A92" s="1" t="s">
        <v>884</v>
      </c>
      <c r="B92" s="1" t="s">
        <v>885</v>
      </c>
      <c r="C92" s="1" t="s">
        <v>886</v>
      </c>
      <c r="D92" s="1" t="s">
        <v>888</v>
      </c>
      <c r="E92" s="1" t="s">
        <v>887</v>
      </c>
      <c r="F92" s="1" t="s">
        <v>889</v>
      </c>
      <c r="G92" s="5">
        <v>7565.0</v>
      </c>
      <c r="H92" s="1">
        <v>95.0</v>
      </c>
      <c r="I92" s="1" t="s">
        <v>182</v>
      </c>
    </row>
    <row r="93">
      <c r="A93" s="1" t="s">
        <v>935</v>
      </c>
      <c r="B93" s="1" t="s">
        <v>936</v>
      </c>
      <c r="C93" s="1" t="s">
        <v>937</v>
      </c>
      <c r="D93" s="1" t="s">
        <v>939</v>
      </c>
      <c r="E93" s="1" t="s">
        <v>938</v>
      </c>
      <c r="F93" s="1" t="s">
        <v>940</v>
      </c>
      <c r="G93" s="5">
        <v>7150.0</v>
      </c>
      <c r="H93" s="1">
        <v>96.0</v>
      </c>
      <c r="I93" s="1" t="s">
        <v>25</v>
      </c>
    </row>
    <row r="94">
      <c r="A94" s="1" t="s">
        <v>77</v>
      </c>
      <c r="B94" s="1" t="s">
        <v>755</v>
      </c>
      <c r="C94" s="1" t="s">
        <v>756</v>
      </c>
      <c r="D94" s="1" t="s">
        <v>758</v>
      </c>
      <c r="E94" s="1" t="s">
        <v>757</v>
      </c>
      <c r="F94" s="1" t="s">
        <v>759</v>
      </c>
      <c r="G94" s="5">
        <v>4000.0</v>
      </c>
      <c r="H94" s="1">
        <v>100.0</v>
      </c>
      <c r="I94" s="1" t="s">
        <v>182</v>
      </c>
    </row>
    <row r="95">
      <c r="A95" s="1" t="s">
        <v>399</v>
      </c>
      <c r="B95" s="1" t="s">
        <v>393</v>
      </c>
      <c r="C95" s="1" t="s">
        <v>400</v>
      </c>
      <c r="D95" s="1" t="s">
        <v>402</v>
      </c>
      <c r="E95" s="1" t="s">
        <v>401</v>
      </c>
      <c r="F95" s="1" t="s">
        <v>403</v>
      </c>
      <c r="G95" s="5">
        <v>2920.0</v>
      </c>
      <c r="H95" s="1">
        <v>101.0</v>
      </c>
      <c r="I95" s="1" t="s">
        <v>182</v>
      </c>
    </row>
    <row r="96">
      <c r="A96" s="1" t="s">
        <v>371</v>
      </c>
      <c r="B96" s="1" t="s">
        <v>1023</v>
      </c>
      <c r="C96" s="1" t="s">
        <v>1024</v>
      </c>
      <c r="D96" s="1" t="s">
        <v>1026</v>
      </c>
      <c r="E96" s="1" t="s">
        <v>1025</v>
      </c>
      <c r="F96" s="1" t="s">
        <v>1027</v>
      </c>
      <c r="G96" s="5">
        <v>1829.0</v>
      </c>
      <c r="H96" s="1">
        <v>103.0</v>
      </c>
      <c r="I96" s="1" t="s">
        <v>213</v>
      </c>
    </row>
    <row r="97">
      <c r="A97" s="1" t="s">
        <v>254</v>
      </c>
      <c r="B97" s="1" t="s">
        <v>255</v>
      </c>
      <c r="C97" s="1" t="s">
        <v>256</v>
      </c>
      <c r="D97" s="1" t="s">
        <v>259</v>
      </c>
      <c r="E97" s="1" t="s">
        <v>258</v>
      </c>
      <c r="F97" s="1" t="s">
        <v>260</v>
      </c>
      <c r="G97" s="5">
        <v>800.0</v>
      </c>
      <c r="H97" s="1">
        <v>105.0</v>
      </c>
      <c r="I97" s="1" t="s">
        <v>182</v>
      </c>
    </row>
    <row r="98">
      <c r="A98" s="1" t="s">
        <v>791</v>
      </c>
      <c r="B98" s="1" t="s">
        <v>792</v>
      </c>
      <c r="C98" s="1" t="s">
        <v>793</v>
      </c>
      <c r="D98" s="1" t="s">
        <v>795</v>
      </c>
      <c r="E98" s="1" t="s">
        <v>794</v>
      </c>
      <c r="F98" s="1" t="s">
        <v>796</v>
      </c>
      <c r="G98" s="5">
        <v>730.0</v>
      </c>
      <c r="H98" s="1">
        <v>106.0</v>
      </c>
      <c r="I98" s="1" t="s">
        <v>25</v>
      </c>
    </row>
    <row r="99">
      <c r="A99" s="1" t="s">
        <v>979</v>
      </c>
      <c r="B99" s="1" t="s">
        <v>980</v>
      </c>
      <c r="C99" s="1" t="s">
        <v>981</v>
      </c>
      <c r="D99" s="1" t="s">
        <v>983</v>
      </c>
      <c r="E99" s="1" t="s">
        <v>982</v>
      </c>
      <c r="F99" s="1" t="s">
        <v>984</v>
      </c>
      <c r="G99" s="1" t="s">
        <v>1088</v>
      </c>
      <c r="H99" s="1">
        <v>107.0</v>
      </c>
      <c r="I99" s="1" t="s">
        <v>103</v>
      </c>
    </row>
    <row r="100">
      <c r="A100" s="1" t="s">
        <v>291</v>
      </c>
      <c r="B100" s="1" t="s">
        <v>292</v>
      </c>
      <c r="C100" s="1" t="s">
        <v>293</v>
      </c>
      <c r="D100" s="1" t="s">
        <v>295</v>
      </c>
      <c r="E100" s="1" t="s">
        <v>294</v>
      </c>
      <c r="F100" s="1" t="s">
        <v>296</v>
      </c>
      <c r="G100" s="1" t="s">
        <v>1088</v>
      </c>
      <c r="H100" s="1">
        <v>108.0</v>
      </c>
      <c r="I100" s="1" t="s">
        <v>182</v>
      </c>
    </row>
    <row r="101">
      <c r="A101" s="1" t="s">
        <v>27</v>
      </c>
      <c r="B101" s="1" t="s">
        <v>28</v>
      </c>
      <c r="C101" s="1" t="s">
        <v>29</v>
      </c>
      <c r="D101" s="1" t="s">
        <v>33</v>
      </c>
      <c r="E101" s="1" t="s">
        <v>32</v>
      </c>
      <c r="F101" s="1" t="s">
        <v>34</v>
      </c>
      <c r="G101" s="1" t="s">
        <v>30</v>
      </c>
      <c r="H101" s="1" t="s">
        <v>30</v>
      </c>
      <c r="I101" s="1" t="s">
        <v>35</v>
      </c>
    </row>
    <row r="102">
      <c r="A102" s="1" t="s">
        <v>59</v>
      </c>
      <c r="B102" s="1" t="s">
        <v>60</v>
      </c>
      <c r="C102" s="1" t="s">
        <v>61</v>
      </c>
      <c r="D102" s="1" t="s">
        <v>63</v>
      </c>
      <c r="E102" s="1" t="s">
        <v>62</v>
      </c>
      <c r="F102" s="1" t="s">
        <v>64</v>
      </c>
      <c r="G102" s="1" t="s">
        <v>30</v>
      </c>
      <c r="H102" s="1" t="s">
        <v>30</v>
      </c>
      <c r="I102" s="1" t="s">
        <v>35</v>
      </c>
    </row>
    <row r="103">
      <c r="A103" s="1" t="s">
        <v>160</v>
      </c>
      <c r="B103" s="1" t="s">
        <v>161</v>
      </c>
      <c r="C103" s="1" t="s">
        <v>162</v>
      </c>
      <c r="D103" s="1" t="s">
        <v>164</v>
      </c>
      <c r="E103" s="1" t="s">
        <v>163</v>
      </c>
      <c r="F103" s="1" t="s">
        <v>165</v>
      </c>
      <c r="G103" s="1" t="s">
        <v>30</v>
      </c>
      <c r="H103" s="1" t="s">
        <v>30</v>
      </c>
      <c r="I103" s="1" t="s">
        <v>35</v>
      </c>
    </row>
    <row r="104">
      <c r="A104" s="1" t="s">
        <v>247</v>
      </c>
      <c r="B104" s="1" t="s">
        <v>248</v>
      </c>
      <c r="C104" s="1" t="s">
        <v>249</v>
      </c>
      <c r="D104" s="1" t="s">
        <v>251</v>
      </c>
      <c r="E104" s="1" t="s">
        <v>250</v>
      </c>
      <c r="F104" s="1" t="s">
        <v>252</v>
      </c>
      <c r="G104" s="1" t="s">
        <v>30</v>
      </c>
      <c r="H104" s="1" t="s">
        <v>30</v>
      </c>
      <c r="I104" s="1" t="s">
        <v>35</v>
      </c>
    </row>
    <row r="105">
      <c r="A105" s="1" t="s">
        <v>65</v>
      </c>
      <c r="B105" s="1" t="s">
        <v>300</v>
      </c>
      <c r="C105" s="1" t="s">
        <v>301</v>
      </c>
      <c r="D105" s="1" t="s">
        <v>303</v>
      </c>
      <c r="E105" s="1" t="s">
        <v>302</v>
      </c>
      <c r="F105" s="1" t="s">
        <v>304</v>
      </c>
      <c r="G105" s="1" t="s">
        <v>30</v>
      </c>
      <c r="H105" s="1" t="s">
        <v>30</v>
      </c>
      <c r="I105" s="1" t="s">
        <v>35</v>
      </c>
    </row>
    <row r="106">
      <c r="A106" s="1" t="s">
        <v>371</v>
      </c>
      <c r="B106" s="1" t="s">
        <v>372</v>
      </c>
      <c r="C106" s="1" t="s">
        <v>373</v>
      </c>
      <c r="D106" s="1" t="s">
        <v>375</v>
      </c>
      <c r="E106" s="1" t="s">
        <v>374</v>
      </c>
      <c r="F106" s="1" t="s">
        <v>376</v>
      </c>
      <c r="G106" s="1" t="s">
        <v>30</v>
      </c>
      <c r="H106" s="1" t="s">
        <v>30</v>
      </c>
      <c r="I106" s="1" t="s">
        <v>35</v>
      </c>
    </row>
    <row r="107">
      <c r="A107" s="1" t="s">
        <v>371</v>
      </c>
      <c r="B107" s="1" t="s">
        <v>522</v>
      </c>
      <c r="C107" s="1" t="s">
        <v>523</v>
      </c>
      <c r="D107" s="1" t="s">
        <v>525</v>
      </c>
      <c r="E107" s="1" t="s">
        <v>524</v>
      </c>
      <c r="F107" s="1" t="s">
        <v>526</v>
      </c>
      <c r="G107" s="1" t="s">
        <v>30</v>
      </c>
      <c r="H107" s="1" t="s">
        <v>30</v>
      </c>
      <c r="I107" s="1" t="s">
        <v>35</v>
      </c>
    </row>
    <row r="108">
      <c r="A108" s="1" t="s">
        <v>605</v>
      </c>
      <c r="B108" s="1" t="s">
        <v>606</v>
      </c>
      <c r="C108" s="1" t="s">
        <v>607</v>
      </c>
      <c r="D108" s="1" t="s">
        <v>609</v>
      </c>
      <c r="E108" s="1" t="s">
        <v>608</v>
      </c>
      <c r="F108" s="1" t="s">
        <v>610</v>
      </c>
      <c r="G108" s="1" t="s">
        <v>30</v>
      </c>
      <c r="H108" s="1" t="s">
        <v>30</v>
      </c>
      <c r="I108" s="1" t="s">
        <v>35</v>
      </c>
    </row>
    <row r="109">
      <c r="A109" s="1" t="s">
        <v>631</v>
      </c>
      <c r="B109" s="1" t="s">
        <v>635</v>
      </c>
      <c r="C109" s="1" t="s">
        <v>636</v>
      </c>
      <c r="D109" s="1" t="s">
        <v>638</v>
      </c>
      <c r="E109" s="1" t="s">
        <v>637</v>
      </c>
      <c r="F109" s="1" t="s">
        <v>639</v>
      </c>
      <c r="G109" s="1" t="s">
        <v>30</v>
      </c>
      <c r="H109" s="1" t="s">
        <v>30</v>
      </c>
      <c r="I109" s="1" t="s">
        <v>35</v>
      </c>
    </row>
    <row r="110">
      <c r="A110" s="1" t="s">
        <v>683</v>
      </c>
      <c r="B110" s="1" t="s">
        <v>684</v>
      </c>
      <c r="C110" s="1" t="s">
        <v>685</v>
      </c>
      <c r="D110" s="1" t="s">
        <v>687</v>
      </c>
      <c r="E110" s="1" t="s">
        <v>686</v>
      </c>
      <c r="F110" s="1" t="s">
        <v>688</v>
      </c>
      <c r="G110" s="1" t="s">
        <v>30</v>
      </c>
      <c r="H110" s="1" t="s">
        <v>30</v>
      </c>
      <c r="I110" s="1" t="s">
        <v>35</v>
      </c>
    </row>
    <row r="111">
      <c r="A111" s="1" t="s">
        <v>696</v>
      </c>
      <c r="B111" s="1" t="s">
        <v>697</v>
      </c>
      <c r="C111" s="1" t="s">
        <v>698</v>
      </c>
      <c r="D111" s="1" t="s">
        <v>700</v>
      </c>
      <c r="E111" s="1" t="s">
        <v>699</v>
      </c>
      <c r="F111" s="1" t="s">
        <v>701</v>
      </c>
      <c r="G111" s="1" t="s">
        <v>30</v>
      </c>
      <c r="H111" s="1" t="s">
        <v>30</v>
      </c>
      <c r="I111" s="1" t="s">
        <v>35</v>
      </c>
    </row>
    <row r="112">
      <c r="A112" s="1" t="s">
        <v>85</v>
      </c>
      <c r="B112" s="1" t="s">
        <v>959</v>
      </c>
      <c r="C112" s="1" t="s">
        <v>960</v>
      </c>
      <c r="D112" s="1" t="s">
        <v>962</v>
      </c>
      <c r="E112" s="1" t="s">
        <v>961</v>
      </c>
      <c r="F112" s="1" t="s">
        <v>963</v>
      </c>
      <c r="G112" s="1" t="s">
        <v>30</v>
      </c>
      <c r="H112" s="1" t="s">
        <v>30</v>
      </c>
      <c r="I112" s="1" t="s">
        <v>35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2026-05-18T22:51:35Z</dcterms:created>
  <dc:creator>Billy Welsh</dc:creator>
</cp:coreProperties>
</file>